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ormance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<sst xmlns="http://schemas.openxmlformats.org/spreadsheetml/2006/main" count="290" uniqueCount="168">
  <si>
    <t xml:space="preserve">FCRM Risk Assessment FY2025 — Audit-Ready Documentation: Conformance Matrix</t>
  </si>
  <si>
    <t xml:space="preserve">Guidance needed (Scope &amp; Approach §3.1–3.7 + Section 6 artifacts) vs. what we have  |  Internal  |  June 2026</t>
  </si>
  <si>
    <t xml:space="preserve">Ref</t>
  </si>
  <si>
    <t xml:space="preserve">Process / Area</t>
  </si>
  <si>
    <t xml:space="preserve">Requirement (Guidance Needed)</t>
  </si>
  <si>
    <t xml:space="preserve">What We Have (Current Evidence)</t>
  </si>
  <si>
    <t xml:space="preserve">Status</t>
  </si>
  <si>
    <t xml:space="preserve">Gap / Action Needed</t>
  </si>
  <si>
    <t xml:space="preserve">3.1  Delivery Process</t>
  </si>
  <si>
    <t xml:space="preserve">3.1a</t>
  </si>
  <si>
    <t xml:space="preserve">Delivery</t>
  </si>
  <si>
    <t xml:space="preserve">Scope documents</t>
  </si>
  <si>
    <t xml:space="preserve">Scope &amp; Requirements Document; SOW (Live) v1.32</t>
  </si>
  <si>
    <t xml:space="preserve">Covered</t>
  </si>
  <si>
    <t xml:space="preserve">—</t>
  </si>
  <si>
    <t xml:space="preserve">3.1b</t>
  </si>
  <si>
    <t xml:space="preserve">RAID logs</t>
  </si>
  <si>
    <t xml:space="preserve">RAID Log (Jira); RAID Log Export.xls</t>
  </si>
  <si>
    <t xml:space="preserve">3.1c</t>
  </si>
  <si>
    <t xml:space="preserve">Metric definitions</t>
  </si>
  <si>
    <t xml:space="preserve">DCT; SOW; Master Data Source; v4 metric YAMLs</t>
  </si>
  <si>
    <t xml:space="preserve">3.1d</t>
  </si>
  <si>
    <t xml:space="preserve">Transformation logic</t>
  </si>
  <si>
    <t xml:space="preserve">Logic Development + Technical Specification steps; notebooks</t>
  </si>
  <si>
    <t xml:space="preserve">3.1e</t>
  </si>
  <si>
    <t xml:space="preserve">Mapping spreadsheets</t>
  </si>
  <si>
    <t xml:space="preserve">Master_Data_source_FY2025_Segment.xlsx</t>
  </si>
  <si>
    <t xml:space="preserve">3.1f</t>
  </si>
  <si>
    <t xml:space="preserve">Data lineage</t>
  </si>
  <si>
    <t xml:space="preserve">Tech Spec source-to-report mapping; Spec-as-Code v4</t>
  </si>
  <si>
    <t xml:space="preserve">3.1g</t>
  </si>
  <si>
    <t xml:space="preserve">Data flow diagrams</t>
  </si>
  <si>
    <t xml:space="preserve">Refer to Spec-as-Code v4 doc (data flow / lineage captured there)</t>
  </si>
  <si>
    <t xml:space="preserve">3.1h</t>
  </si>
  <si>
    <t xml:space="preserve">Delivery status evidence</t>
  </si>
  <si>
    <t xml:space="preserve">Jira workflow states; Tracking Progress tab</t>
  </si>
  <si>
    <t xml:space="preserve">3.2  Data Governance Process</t>
  </si>
  <si>
    <t xml:space="preserve">3.2a</t>
  </si>
  <si>
    <t xml:space="preserve">Data Governance</t>
  </si>
  <si>
    <t xml:space="preserve">Data ownership</t>
  </si>
  <si>
    <t xml:space="preserve">Master Data Source 'owner' column; PIA data owners</t>
  </si>
  <si>
    <t xml:space="preserve">3.2b</t>
  </si>
  <si>
    <t xml:space="preserve">Applicable policies &amp; standards</t>
  </si>
  <si>
    <t xml:space="preserve">SOPs reference the Jira governance rule; enterprise data policies referenced</t>
  </si>
  <si>
    <t xml:space="preserve">3.2c</t>
  </si>
  <si>
    <t xml:space="preserve">Alignment to enterprise data governance</t>
  </si>
  <si>
    <t xml:space="preserve">Governance &amp; Issue Mgmt process; aligned to enterprise data governance expectations</t>
  </si>
  <si>
    <t xml:space="preserve">3.3  Data Quality Process (95%)</t>
  </si>
  <si>
    <t xml:space="preserve">3.3a</t>
  </si>
  <si>
    <t xml:space="preserve">Data Quality</t>
  </si>
  <si>
    <t xml:space="preserve">DQ measurement (95% threshold)</t>
  </si>
  <si>
    <t xml:space="preserve">Pattern established: availability_pct = round(100*NNNBV/total,2); insertDQTable → cde_da_by_lob_segment; 95% gate</t>
  </si>
  <si>
    <t xml:space="preserve">Partial</t>
  </si>
  <si>
    <t xml:space="preserve">Execution in progress: DQ% mostly not yet written to the static mastersheet; DQ queries only partially pushed to GitHub</t>
  </si>
  <si>
    <t xml:space="preserve">3.3b</t>
  </si>
  <si>
    <t xml:space="preserve">DQ rulebook</t>
  </si>
  <si>
    <t xml:space="preserve">DQ rulebook held in GitHub repo; Git &amp; Databricks BP §3.4 / §8.4</t>
  </si>
  <si>
    <t xml:space="preserve">3.3c</t>
  </si>
  <si>
    <t xml:space="preserve">Profiling reports</t>
  </si>
  <si>
    <t xml:space="preserve">Data Understanding output (2025 Approved Metadata Templates)</t>
  </si>
  <si>
    <t xml:space="preserve">3.3d</t>
  </si>
  <si>
    <t xml:space="preserve">Issue logs</t>
  </si>
  <si>
    <t xml:space="preserve">RAID log; v4 known_issues field</t>
  </si>
  <si>
    <t xml:space="preserve">3.3e</t>
  </si>
  <si>
    <t xml:space="preserve">Remediation tracking</t>
  </si>
  <si>
    <t xml:space="preserve">RAID closure; risk-acceptance / NOT AVAILABLE path</t>
  </si>
  <si>
    <t xml:space="preserve">3.3f</t>
  </si>
  <si>
    <t xml:space="preserve">Reproducible measurement outputs</t>
  </si>
  <si>
    <t xml:space="preserve">cde_da_by_lob_segment (re-runnable, time-stamped)</t>
  </si>
  <si>
    <t xml:space="preserve">3.4  Data Lineage &amp; Traceability Process</t>
  </si>
  <si>
    <t xml:space="preserve">3.4a</t>
  </si>
  <si>
    <t xml:space="preserve">Lineage</t>
  </si>
  <si>
    <t xml:space="preserve">Source-to-report mappings</t>
  </si>
  <si>
    <t xml:space="preserve">Technical Specification step; v4 lineage YAMLs</t>
  </si>
  <si>
    <t xml:space="preserve">3.4b</t>
  </si>
  <si>
    <t xml:space="preserve">Field-level lineage</t>
  </si>
  <si>
    <t xml:space="preserve">Spec-as-Code v4 lineage; notebook [LINEAGE] cells</t>
  </si>
  <si>
    <t xml:space="preserve">3.4c</t>
  </si>
  <si>
    <t xml:space="preserve">Transformation traceability</t>
  </si>
  <si>
    <t xml:space="preserve">v4 lineage YAML transformation steps</t>
  </si>
  <si>
    <t xml:space="preserve">3.5  Developer Testing &amp; QA (code quality)</t>
  </si>
  <si>
    <t xml:space="preserve">3.5a</t>
  </si>
  <si>
    <t xml:space="preserve">Testing &amp; QA</t>
  </si>
  <si>
    <t xml:space="preserve">Test cases</t>
  </si>
  <si>
    <t xml:space="preserve">Not applicable — analytical query delivery, no software test suite; quality assured by control-based model (see Test Approach doc)</t>
  </si>
  <si>
    <t xml:space="preserve">N/A</t>
  </si>
  <si>
    <t xml:space="preserve">3.5b</t>
  </si>
  <si>
    <t xml:space="preserve">Unit testing results</t>
  </si>
  <si>
    <t xml:space="preserve">Not applicable — analytical query delivery; assurance via DQ checks, reconciliation, peer review, sign-off (see Test Approach doc)</t>
  </si>
  <si>
    <t xml:space="preserve">3.5c</t>
  </si>
  <si>
    <t xml:space="preserve">Peer review documentation</t>
  </si>
  <si>
    <t xml:space="preserve">V&amp;QA Peer Review step; reviewer ≠ preparer</t>
  </si>
  <si>
    <t xml:space="preserve">3.5d</t>
  </si>
  <si>
    <t xml:space="preserve">Integration testing evidence</t>
  </si>
  <si>
    <t xml:space="preserve">Not applicable — analytical query delivery; reconciliation + output verification provide equivalent assurance (see Test Approach doc)</t>
  </si>
  <si>
    <t xml:space="preserve">3.5e</t>
  </si>
  <si>
    <t xml:space="preserve">Final sign-offs</t>
  </si>
  <si>
    <t xml:space="preserve">PO CONCURRENCE → PO APPROVED</t>
  </si>
  <si>
    <t xml:space="preserve">3.6  Access Control &amp; Security Process</t>
  </si>
  <si>
    <t xml:space="preserve">3.6a</t>
  </si>
  <si>
    <t xml:space="preserve">Access &amp; Security</t>
  </si>
  <si>
    <t xml:space="preserve">PIAs</t>
  </si>
  <si>
    <t xml:space="preserve">Canada PIA; 2025 PIA Approval Emails; PIA Jira chain</t>
  </si>
  <si>
    <t xml:space="preserve">3.6b</t>
  </si>
  <si>
    <t xml:space="preserve">Access control matrices</t>
  </si>
  <si>
    <t xml:space="preserve">Canada Foundational Tracker</t>
  </si>
  <si>
    <t xml:space="preserve">3.6c</t>
  </si>
  <si>
    <t xml:space="preserve">Segregation of duties</t>
  </si>
  <si>
    <t xml:space="preserve">Preparer ≠ reviewer ≠ approver (documented)</t>
  </si>
  <si>
    <t xml:space="preserve">3.6d</t>
  </si>
  <si>
    <t xml:space="preserve">Periodic reviews</t>
  </si>
  <si>
    <t xml:space="preserve">Access governed and tracked via PIA + Canada Foundational Tracker</t>
  </si>
  <si>
    <t xml:space="preserve">3.6e</t>
  </si>
  <si>
    <t xml:space="preserve">DEV vs PROD separation</t>
  </si>
  <si>
    <t xml:space="preserve">Not applicable — single Azure Databricks environment, no non-prod/prod split (see Environment Separation Note)</t>
  </si>
  <si>
    <t xml:space="preserve">3.6f</t>
  </si>
  <si>
    <t xml:space="preserve">Retention controls</t>
  </si>
  <si>
    <t xml:space="preserve">CA AZ retention governed by the referenced Rahona data retention policy (Rahona SRZ DRD)</t>
  </si>
  <si>
    <t xml:space="preserve">3.7  Change Management &amp; Version Control Process</t>
  </si>
  <si>
    <t xml:space="preserve">3.7a</t>
  </si>
  <si>
    <t xml:space="preserve">Change Mgmt</t>
  </si>
  <si>
    <t xml:space="preserve">Change tickets</t>
  </si>
  <si>
    <t xml:space="preserve">Jira change ticket; dedicated Change Management Jira board to be created</t>
  </si>
  <si>
    <t xml:space="preserve">CM Jira board creation planned — flips to Covered once created</t>
  </si>
  <si>
    <t xml:space="preserve">3.7b</t>
  </si>
  <si>
    <t xml:space="preserve">Approvals</t>
  </si>
  <si>
    <t xml:space="preserve">PO CONCURRENCE; Review Challenge Workbook sign-off</t>
  </si>
  <si>
    <t xml:space="preserve">3.7c</t>
  </si>
  <si>
    <t xml:space="preserve">Git version history</t>
  </si>
  <si>
    <t xml:space="preserve">TD-Universe/RAFY2025_CA (+ RAFY2025_CA_Auto)</t>
  </si>
  <si>
    <t xml:space="preserve">Confirm role of each repo (query audit record vs spec-as-code)</t>
  </si>
  <si>
    <t xml:space="preserve">3.7d</t>
  </si>
  <si>
    <t xml:space="preserve">Deployment logs</t>
  </si>
  <si>
    <t xml:space="preserve">N/A — no PROD deploy; Jira state + Git + mastersheet = release evidence</t>
  </si>
  <si>
    <t xml:space="preserve">Reframed in Environment Separation Note</t>
  </si>
  <si>
    <t xml:space="preserve">3.7e</t>
  </si>
  <si>
    <t xml:space="preserve">Rollback procedures</t>
  </si>
  <si>
    <t xml:space="preserve">Not applicable — no live/production environment (single Azure Databricks); Git history enables revert if needed</t>
  </si>
  <si>
    <t xml:space="preserve">3.7f</t>
  </si>
  <si>
    <t xml:space="preserve">Archived outputs</t>
  </si>
  <si>
    <t xml:space="preserve">SharePoint 08 - Archive</t>
  </si>
  <si>
    <t xml:space="preserve">3.7g</t>
  </si>
  <si>
    <t xml:space="preserve">Rerun capability</t>
  </si>
  <si>
    <t xml:space="preserve">Re-runnable notebooks; reproducible DQ table</t>
  </si>
  <si>
    <t xml:space="preserve">Section 6 — Required Artifacts</t>
  </si>
  <si>
    <t xml:space="preserve">A1</t>
  </si>
  <si>
    <t xml:space="preserve">Artifact</t>
  </si>
  <si>
    <t xml:space="preserve">Process Flow Diagrams (PPT SmartArt, SharePoint)</t>
  </si>
  <si>
    <t xml:space="preserve">00_FCRM_RA_FY2025_Process_Workflows.pptx</t>
  </si>
  <si>
    <t xml:space="preserve">A2</t>
  </si>
  <si>
    <t xml:space="preserve">Process Flow Inventory XLS</t>
  </si>
  <si>
    <t xml:space="preserve">01_FCRM_Master_Process_Inventory.xlsx</t>
  </si>
  <si>
    <t xml:space="preserve">A2a</t>
  </si>
  <si>
    <t xml:space="preserve">Linked artifacts (Scope SOW, Test Approach, Change Mgmt approach, RAID inventory)</t>
  </si>
  <si>
    <t xml:space="preserve">SOW; Change Mgmt SOP; RAID; Test Approach doc</t>
  </si>
  <si>
    <t xml:space="preserve">A3</t>
  </si>
  <si>
    <t xml:space="preserve">Procedures / Standards / Best Practice doc</t>
  </si>
  <si>
    <t xml:space="preserve">Git &amp; Databricks Best Practices v2.8; SOPs</t>
  </si>
  <si>
    <t xml:space="preserve">A4</t>
  </si>
  <si>
    <t xml:space="preserve">Folder structure to store everything</t>
  </si>
  <si>
    <t xml:space="preserve">SharePoint 01–08 structure</t>
  </si>
  <si>
    <t xml:space="preserve">A5</t>
  </si>
  <si>
    <t xml:space="preserve">Summary for Audit (Word)</t>
  </si>
  <si>
    <t xml:space="preserve">Audit Summary v1.3</t>
  </si>
  <si>
    <t xml:space="preserve">Reconcile owners/step counts to live inventory</t>
  </si>
  <si>
    <t xml:space="preserve">Legend:</t>
  </si>
  <si>
    <t xml:space="preserve">Gap</t>
  </si>
  <si>
    <t xml:space="preserve">Status counts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</si>
</sst>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D2B"/>
        <bgColor rgb="FF003300"/>
      </patternFill>
    </fill>
    <fill>
      <patternFill patternType="solid">
        <fgColor rgb="FF2E5A3B"/>
        <bgColor rgb="FF1F3D2B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D9D9D9"/>
        <bgColor rgb="FFC6E0B4"/>
      </patternFill>
    </fill>
    <fill>
      <patternFill patternType="solid">
        <fgColor rgb="FFF4B7B7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7B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E5A3B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8" hidden="false" customHeight="true" outlineLevel="0" collapsed="false">
      <c r="A4" s="4" t="s">
        <v>8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9</v>
      </c>
      <c r="B5" s="6" t="s">
        <v>10</v>
      </c>
      <c r="C5" s="6" t="s">
        <v>11</v>
      </c>
      <c r="D5" s="6" t="s">
        <v>12</v>
      </c>
      <c r="E5" s="7" t="s">
        <v>13</v>
      </c>
      <c r="F5" s="6" t="s">
        <v>14</v>
      </c>
    </row>
    <row r="6" customFormat="false" ht="15" hidden="false" customHeight="false" outlineLevel="0" collapsed="false">
      <c r="A6" s="5" t="s">
        <v>15</v>
      </c>
      <c r="B6" s="6" t="s">
        <v>10</v>
      </c>
      <c r="C6" s="6" t="s">
        <v>16</v>
      </c>
      <c r="D6" s="6" t="s">
        <v>17</v>
      </c>
      <c r="E6" s="7" t="s">
        <v>13</v>
      </c>
      <c r="F6" s="6" t="s">
        <v>14</v>
      </c>
    </row>
    <row r="7" customFormat="false" ht="15" hidden="false" customHeight="false" outlineLevel="0" collapsed="false">
      <c r="A7" s="5" t="s">
        <v>18</v>
      </c>
      <c r="B7" s="6" t="s">
        <v>10</v>
      </c>
      <c r="C7" s="6" t="s">
        <v>19</v>
      </c>
      <c r="D7" s="6" t="s">
        <v>20</v>
      </c>
      <c r="E7" s="7" t="s">
        <v>13</v>
      </c>
      <c r="F7" s="6" t="s">
        <v>14</v>
      </c>
    </row>
    <row r="8" customFormat="false" ht="15" hidden="false" customHeight="false" outlineLevel="0" collapsed="false">
      <c r="A8" s="5" t="s">
        <v>21</v>
      </c>
      <c r="B8" s="6" t="s">
        <v>10</v>
      </c>
      <c r="C8" s="6" t="s">
        <v>22</v>
      </c>
      <c r="D8" s="6" t="s">
        <v>23</v>
      </c>
      <c r="E8" s="7" t="s">
        <v>13</v>
      </c>
      <c r="F8" s="6" t="s">
        <v>14</v>
      </c>
    </row>
    <row r="9" customFormat="false" ht="15" hidden="false" customHeight="false" outlineLevel="0" collapsed="false">
      <c r="A9" s="5" t="s">
        <v>24</v>
      </c>
      <c r="B9" s="6" t="s">
        <v>10</v>
      </c>
      <c r="C9" s="6" t="s">
        <v>25</v>
      </c>
      <c r="D9" s="6" t="s">
        <v>26</v>
      </c>
      <c r="E9" s="7" t="s">
        <v>13</v>
      </c>
      <c r="F9" s="6" t="s">
        <v>14</v>
      </c>
    </row>
    <row r="10" customFormat="false" ht="15" hidden="false" customHeight="false" outlineLevel="0" collapsed="false">
      <c r="A10" s="5" t="s">
        <v>27</v>
      </c>
      <c r="B10" s="6" t="s">
        <v>10</v>
      </c>
      <c r="C10" s="6" t="s">
        <v>28</v>
      </c>
      <c r="D10" s="6" t="s">
        <v>29</v>
      </c>
      <c r="E10" s="7" t="s">
        <v>13</v>
      </c>
      <c r="F10" s="6" t="s">
        <v>14</v>
      </c>
    </row>
    <row r="11" customFormat="false" ht="15" hidden="false" customHeight="false" outlineLevel="0" collapsed="false">
      <c r="A11" s="5" t="s">
        <v>30</v>
      </c>
      <c r="B11" s="6" t="s">
        <v>10</v>
      </c>
      <c r="C11" s="6" t="s">
        <v>31</v>
      </c>
      <c r="D11" s="6" t="s">
        <v>32</v>
      </c>
      <c r="E11" s="7" t="s">
        <v>13</v>
      </c>
      <c r="F11" s="6" t="s">
        <v>14</v>
      </c>
    </row>
    <row r="12" customFormat="false" ht="15" hidden="false" customHeight="false" outlineLevel="0" collapsed="false">
      <c r="A12" s="5" t="s">
        <v>33</v>
      </c>
      <c r="B12" s="6" t="s">
        <v>10</v>
      </c>
      <c r="C12" s="6" t="s">
        <v>34</v>
      </c>
      <c r="D12" s="6" t="s">
        <v>35</v>
      </c>
      <c r="E12" s="7" t="s">
        <v>13</v>
      </c>
      <c r="F12" s="6" t="s">
        <v>14</v>
      </c>
    </row>
    <row r="13" customFormat="false" ht="18" hidden="false" customHeight="true" outlineLevel="0" collapsed="false">
      <c r="A13" s="4" t="s">
        <v>36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5" t="s">
        <v>37</v>
      </c>
      <c r="B14" s="6" t="s">
        <v>38</v>
      </c>
      <c r="C14" s="6" t="s">
        <v>39</v>
      </c>
      <c r="D14" s="6" t="s">
        <v>40</v>
      </c>
      <c r="E14" s="7" t="s">
        <v>13</v>
      </c>
      <c r="F14" s="6" t="s">
        <v>14</v>
      </c>
    </row>
    <row r="15" customFormat="false" ht="22.35" hidden="false" customHeight="false" outlineLevel="0" collapsed="false">
      <c r="A15" s="5" t="s">
        <v>41</v>
      </c>
      <c r="B15" s="6" t="s">
        <v>38</v>
      </c>
      <c r="C15" s="6" t="s">
        <v>42</v>
      </c>
      <c r="D15" s="6" t="s">
        <v>43</v>
      </c>
      <c r="E15" s="7" t="s">
        <v>13</v>
      </c>
      <c r="F15" s="6" t="s">
        <v>14</v>
      </c>
    </row>
    <row r="16" customFormat="false" ht="22.35" hidden="false" customHeight="false" outlineLevel="0" collapsed="false">
      <c r="A16" s="5" t="s">
        <v>44</v>
      </c>
      <c r="B16" s="6" t="s">
        <v>38</v>
      </c>
      <c r="C16" s="6" t="s">
        <v>45</v>
      </c>
      <c r="D16" s="6" t="s">
        <v>46</v>
      </c>
      <c r="E16" s="7" t="s">
        <v>13</v>
      </c>
      <c r="F16" s="6" t="s">
        <v>14</v>
      </c>
    </row>
    <row r="17" customFormat="false" ht="18" hidden="false" customHeight="true" outlineLevel="0" collapsed="false">
      <c r="A17" s="4" t="s">
        <v>47</v>
      </c>
      <c r="B17" s="4"/>
      <c r="C17" s="4"/>
      <c r="D17" s="4"/>
      <c r="E17" s="4"/>
      <c r="F17" s="4"/>
    </row>
    <row r="18" customFormat="false" ht="32.8" hidden="false" customHeight="false" outlineLevel="0" collapsed="false">
      <c r="A18" s="5" t="s">
        <v>48</v>
      </c>
      <c r="B18" s="6" t="s">
        <v>49</v>
      </c>
      <c r="C18" s="6" t="s">
        <v>50</v>
      </c>
      <c r="D18" s="6" t="s">
        <v>51</v>
      </c>
      <c r="E18" s="8" t="s">
        <v>52</v>
      </c>
      <c r="F18" s="6" t="s">
        <v>53</v>
      </c>
    </row>
    <row r="19" customFormat="false" ht="15" hidden="false" customHeight="false" outlineLevel="0" collapsed="false">
      <c r="A19" s="5" t="s">
        <v>54</v>
      </c>
      <c r="B19" s="6" t="s">
        <v>49</v>
      </c>
      <c r="C19" s="6" t="s">
        <v>55</v>
      </c>
      <c r="D19" s="6" t="s">
        <v>56</v>
      </c>
      <c r="E19" s="7" t="s">
        <v>13</v>
      </c>
      <c r="F19" s="6" t="s">
        <v>14</v>
      </c>
    </row>
    <row r="20" customFormat="false" ht="15" hidden="false" customHeight="false" outlineLevel="0" collapsed="false">
      <c r="A20" s="5" t="s">
        <v>57</v>
      </c>
      <c r="B20" s="6" t="s">
        <v>49</v>
      </c>
      <c r="C20" s="6" t="s">
        <v>58</v>
      </c>
      <c r="D20" s="6" t="s">
        <v>59</v>
      </c>
      <c r="E20" s="7" t="s">
        <v>13</v>
      </c>
      <c r="F20" s="6" t="s">
        <v>14</v>
      </c>
    </row>
    <row r="21" customFormat="false" ht="15" hidden="false" customHeight="false" outlineLevel="0" collapsed="false">
      <c r="A21" s="5" t="s">
        <v>60</v>
      </c>
      <c r="B21" s="6" t="s">
        <v>49</v>
      </c>
      <c r="C21" s="6" t="s">
        <v>61</v>
      </c>
      <c r="D21" s="6" t="s">
        <v>62</v>
      </c>
      <c r="E21" s="7" t="s">
        <v>13</v>
      </c>
      <c r="F21" s="6" t="s">
        <v>14</v>
      </c>
    </row>
    <row r="22" customFormat="false" ht="15" hidden="false" customHeight="false" outlineLevel="0" collapsed="false">
      <c r="A22" s="5" t="s">
        <v>63</v>
      </c>
      <c r="B22" s="6" t="s">
        <v>49</v>
      </c>
      <c r="C22" s="6" t="s">
        <v>64</v>
      </c>
      <c r="D22" s="6" t="s">
        <v>65</v>
      </c>
      <c r="E22" s="7" t="s">
        <v>13</v>
      </c>
      <c r="F22" s="6" t="s">
        <v>14</v>
      </c>
    </row>
    <row r="23" customFormat="false" ht="15" hidden="false" customHeight="false" outlineLevel="0" collapsed="false">
      <c r="A23" s="5" t="s">
        <v>66</v>
      </c>
      <c r="B23" s="6" t="s">
        <v>49</v>
      </c>
      <c r="C23" s="6" t="s">
        <v>67</v>
      </c>
      <c r="D23" s="6" t="s">
        <v>68</v>
      </c>
      <c r="E23" s="7" t="s">
        <v>13</v>
      </c>
      <c r="F23" s="6" t="s">
        <v>14</v>
      </c>
    </row>
    <row r="24" customFormat="false" ht="18" hidden="false" customHeight="true" outlineLevel="0" collapsed="false">
      <c r="A24" s="4" t="s">
        <v>69</v>
      </c>
      <c r="B24" s="4"/>
      <c r="C24" s="4"/>
      <c r="D24" s="4"/>
      <c r="E24" s="4"/>
      <c r="F24" s="4"/>
    </row>
    <row r="25" customFormat="false" ht="15" hidden="false" customHeight="false" outlineLevel="0" collapsed="false">
      <c r="A25" s="5" t="s">
        <v>70</v>
      </c>
      <c r="B25" s="6" t="s">
        <v>71</v>
      </c>
      <c r="C25" s="6" t="s">
        <v>72</v>
      </c>
      <c r="D25" s="6" t="s">
        <v>73</v>
      </c>
      <c r="E25" s="7" t="s">
        <v>13</v>
      </c>
      <c r="F25" s="6" t="s">
        <v>14</v>
      </c>
    </row>
    <row r="26" customFormat="false" ht="15" hidden="false" customHeight="false" outlineLevel="0" collapsed="false">
      <c r="A26" s="5" t="s">
        <v>74</v>
      </c>
      <c r="B26" s="6" t="s">
        <v>71</v>
      </c>
      <c r="C26" s="6" t="s">
        <v>75</v>
      </c>
      <c r="D26" s="6" t="s">
        <v>76</v>
      </c>
      <c r="E26" s="7" t="s">
        <v>13</v>
      </c>
      <c r="F26" s="6" t="s">
        <v>14</v>
      </c>
    </row>
    <row r="27" customFormat="false" ht="15" hidden="false" customHeight="false" outlineLevel="0" collapsed="false">
      <c r="A27" s="5" t="s">
        <v>77</v>
      </c>
      <c r="B27" s="6" t="s">
        <v>71</v>
      </c>
      <c r="C27" s="6" t="s">
        <v>78</v>
      </c>
      <c r="D27" s="6" t="s">
        <v>79</v>
      </c>
      <c r="E27" s="7" t="s">
        <v>13</v>
      </c>
      <c r="F27" s="6" t="s">
        <v>14</v>
      </c>
    </row>
    <row r="28" customFormat="false" ht="18" hidden="false" customHeight="true" outlineLevel="0" collapsed="false">
      <c r="A28" s="4" t="s">
        <v>80</v>
      </c>
      <c r="B28" s="4"/>
      <c r="C28" s="4"/>
      <c r="D28" s="4"/>
      <c r="E28" s="4"/>
      <c r="F28" s="4"/>
    </row>
    <row r="29" customFormat="false" ht="22.35" hidden="false" customHeight="false" outlineLevel="0" collapsed="false">
      <c r="A29" s="5" t="s">
        <v>81</v>
      </c>
      <c r="B29" s="6" t="s">
        <v>82</v>
      </c>
      <c r="C29" s="6" t="s">
        <v>83</v>
      </c>
      <c r="D29" s="6" t="s">
        <v>84</v>
      </c>
      <c r="E29" s="9" t="s">
        <v>85</v>
      </c>
      <c r="F29" s="6" t="s">
        <v>14</v>
      </c>
    </row>
    <row r="30" customFormat="false" ht="22.35" hidden="false" customHeight="false" outlineLevel="0" collapsed="false">
      <c r="A30" s="5" t="s">
        <v>86</v>
      </c>
      <c r="B30" s="6" t="s">
        <v>82</v>
      </c>
      <c r="C30" s="6" t="s">
        <v>87</v>
      </c>
      <c r="D30" s="6" t="s">
        <v>88</v>
      </c>
      <c r="E30" s="9" t="s">
        <v>85</v>
      </c>
      <c r="F30" s="6" t="s">
        <v>14</v>
      </c>
    </row>
    <row r="31" customFormat="false" ht="15" hidden="false" customHeight="false" outlineLevel="0" collapsed="false">
      <c r="A31" s="5" t="s">
        <v>89</v>
      </c>
      <c r="B31" s="6" t="s">
        <v>82</v>
      </c>
      <c r="C31" s="6" t="s">
        <v>90</v>
      </c>
      <c r="D31" s="6" t="s">
        <v>91</v>
      </c>
      <c r="E31" s="7" t="s">
        <v>13</v>
      </c>
      <c r="F31" s="6" t="s">
        <v>14</v>
      </c>
    </row>
    <row r="32" customFormat="false" ht="22.35" hidden="false" customHeight="false" outlineLevel="0" collapsed="false">
      <c r="A32" s="5" t="s">
        <v>92</v>
      </c>
      <c r="B32" s="6" t="s">
        <v>82</v>
      </c>
      <c r="C32" s="6" t="s">
        <v>93</v>
      </c>
      <c r="D32" s="6" t="s">
        <v>94</v>
      </c>
      <c r="E32" s="9" t="s">
        <v>85</v>
      </c>
      <c r="F32" s="6" t="s">
        <v>14</v>
      </c>
    </row>
    <row r="33" customFormat="false" ht="15" hidden="false" customHeight="false" outlineLevel="0" collapsed="false">
      <c r="A33" s="5" t="s">
        <v>95</v>
      </c>
      <c r="B33" s="6" t="s">
        <v>82</v>
      </c>
      <c r="C33" s="6" t="s">
        <v>96</v>
      </c>
      <c r="D33" s="6" t="s">
        <v>97</v>
      </c>
      <c r="E33" s="7" t="s">
        <v>13</v>
      </c>
      <c r="F33" s="6" t="s">
        <v>14</v>
      </c>
    </row>
    <row r="34" customFormat="false" ht="18" hidden="false" customHeight="true" outlineLevel="0" collapsed="false">
      <c r="A34" s="4" t="s">
        <v>98</v>
      </c>
      <c r="B34" s="4"/>
      <c r="C34" s="4"/>
      <c r="D34" s="4"/>
      <c r="E34" s="4"/>
      <c r="F34" s="4"/>
    </row>
    <row r="35" customFormat="false" ht="15" hidden="false" customHeight="false" outlineLevel="0" collapsed="false">
      <c r="A35" s="5" t="s">
        <v>99</v>
      </c>
      <c r="B35" s="6" t="s">
        <v>100</v>
      </c>
      <c r="C35" s="6" t="s">
        <v>101</v>
      </c>
      <c r="D35" s="6" t="s">
        <v>102</v>
      </c>
      <c r="E35" s="7" t="s">
        <v>13</v>
      </c>
      <c r="F35" s="6" t="s">
        <v>14</v>
      </c>
    </row>
    <row r="36" customFormat="false" ht="15" hidden="false" customHeight="false" outlineLevel="0" collapsed="false">
      <c r="A36" s="5" t="s">
        <v>103</v>
      </c>
      <c r="B36" s="6" t="s">
        <v>100</v>
      </c>
      <c r="C36" s="6" t="s">
        <v>104</v>
      </c>
      <c r="D36" s="6" t="s">
        <v>105</v>
      </c>
      <c r="E36" s="7" t="s">
        <v>13</v>
      </c>
      <c r="F36" s="6" t="s">
        <v>14</v>
      </c>
    </row>
    <row r="37" customFormat="false" ht="15" hidden="false" customHeight="false" outlineLevel="0" collapsed="false">
      <c r="A37" s="5" t="s">
        <v>106</v>
      </c>
      <c r="B37" s="6" t="s">
        <v>100</v>
      </c>
      <c r="C37" s="6" t="s">
        <v>107</v>
      </c>
      <c r="D37" s="6" t="s">
        <v>108</v>
      </c>
      <c r="E37" s="7" t="s">
        <v>13</v>
      </c>
      <c r="F37" s="6" t="s">
        <v>14</v>
      </c>
    </row>
    <row r="38" customFormat="false" ht="22.35" hidden="false" customHeight="false" outlineLevel="0" collapsed="false">
      <c r="A38" s="5" t="s">
        <v>109</v>
      </c>
      <c r="B38" s="6" t="s">
        <v>100</v>
      </c>
      <c r="C38" s="6" t="s">
        <v>110</v>
      </c>
      <c r="D38" s="6" t="s">
        <v>111</v>
      </c>
      <c r="E38" s="7" t="s">
        <v>13</v>
      </c>
      <c r="F38" s="6" t="s">
        <v>14</v>
      </c>
    </row>
    <row r="39" customFormat="false" ht="22.35" hidden="false" customHeight="false" outlineLevel="0" collapsed="false">
      <c r="A39" s="5" t="s">
        <v>112</v>
      </c>
      <c r="B39" s="6" t="s">
        <v>100</v>
      </c>
      <c r="C39" s="6" t="s">
        <v>113</v>
      </c>
      <c r="D39" s="6" t="s">
        <v>114</v>
      </c>
      <c r="E39" s="9" t="s">
        <v>85</v>
      </c>
      <c r="F39" s="6" t="s">
        <v>14</v>
      </c>
    </row>
    <row r="40" customFormat="false" ht="22.35" hidden="false" customHeight="false" outlineLevel="0" collapsed="false">
      <c r="A40" s="5" t="s">
        <v>115</v>
      </c>
      <c r="B40" s="6" t="s">
        <v>100</v>
      </c>
      <c r="C40" s="6" t="s">
        <v>116</v>
      </c>
      <c r="D40" s="6" t="s">
        <v>117</v>
      </c>
      <c r="E40" s="7" t="s">
        <v>13</v>
      </c>
      <c r="F40" s="6" t="s">
        <v>14</v>
      </c>
    </row>
    <row r="41" customFormat="false" ht="18" hidden="false" customHeight="true" outlineLevel="0" collapsed="false">
      <c r="A41" s="4" t="s">
        <v>118</v>
      </c>
      <c r="B41" s="4"/>
      <c r="C41" s="4"/>
      <c r="D41" s="4"/>
      <c r="E41" s="4"/>
      <c r="F41" s="4"/>
    </row>
    <row r="42" customFormat="false" ht="22.35" hidden="false" customHeight="false" outlineLevel="0" collapsed="false">
      <c r="A42" s="5" t="s">
        <v>119</v>
      </c>
      <c r="B42" s="6" t="s">
        <v>120</v>
      </c>
      <c r="C42" s="6" t="s">
        <v>121</v>
      </c>
      <c r="D42" s="6" t="s">
        <v>122</v>
      </c>
      <c r="E42" s="8" t="s">
        <v>52</v>
      </c>
      <c r="F42" s="6" t="s">
        <v>123</v>
      </c>
    </row>
    <row r="43" customFormat="false" ht="15" hidden="false" customHeight="false" outlineLevel="0" collapsed="false">
      <c r="A43" s="5" t="s">
        <v>124</v>
      </c>
      <c r="B43" s="6" t="s">
        <v>120</v>
      </c>
      <c r="C43" s="6" t="s">
        <v>125</v>
      </c>
      <c r="D43" s="6" t="s">
        <v>126</v>
      </c>
      <c r="E43" s="7" t="s">
        <v>13</v>
      </c>
      <c r="F43" s="6" t="s">
        <v>14</v>
      </c>
    </row>
    <row r="44" customFormat="false" ht="22.35" hidden="false" customHeight="false" outlineLevel="0" collapsed="false">
      <c r="A44" s="5" t="s">
        <v>127</v>
      </c>
      <c r="B44" s="6" t="s">
        <v>120</v>
      </c>
      <c r="C44" s="6" t="s">
        <v>128</v>
      </c>
      <c r="D44" s="6" t="s">
        <v>129</v>
      </c>
      <c r="E44" s="7" t="s">
        <v>13</v>
      </c>
      <c r="F44" s="6" t="s">
        <v>130</v>
      </c>
    </row>
    <row r="45" customFormat="false" ht="22.35" hidden="false" customHeight="false" outlineLevel="0" collapsed="false">
      <c r="A45" s="5" t="s">
        <v>131</v>
      </c>
      <c r="B45" s="6" t="s">
        <v>120</v>
      </c>
      <c r="C45" s="6" t="s">
        <v>132</v>
      </c>
      <c r="D45" s="6" t="s">
        <v>133</v>
      </c>
      <c r="E45" s="7" t="s">
        <v>13</v>
      </c>
      <c r="F45" s="6" t="s">
        <v>134</v>
      </c>
    </row>
    <row r="46" customFormat="false" ht="22.35" hidden="false" customHeight="false" outlineLevel="0" collapsed="false">
      <c r="A46" s="5" t="s">
        <v>135</v>
      </c>
      <c r="B46" s="6" t="s">
        <v>120</v>
      </c>
      <c r="C46" s="6" t="s">
        <v>136</v>
      </c>
      <c r="D46" s="6" t="s">
        <v>137</v>
      </c>
      <c r="E46" s="9" t="s">
        <v>85</v>
      </c>
      <c r="F46" s="6" t="s">
        <v>14</v>
      </c>
    </row>
    <row r="47" customFormat="false" ht="15" hidden="false" customHeight="false" outlineLevel="0" collapsed="false">
      <c r="A47" s="5" t="s">
        <v>138</v>
      </c>
      <c r="B47" s="6" t="s">
        <v>120</v>
      </c>
      <c r="C47" s="6" t="s">
        <v>139</v>
      </c>
      <c r="D47" s="6" t="s">
        <v>140</v>
      </c>
      <c r="E47" s="7" t="s">
        <v>13</v>
      </c>
      <c r="F47" s="6" t="s">
        <v>14</v>
      </c>
    </row>
    <row r="48" customFormat="false" ht="15" hidden="false" customHeight="false" outlineLevel="0" collapsed="false">
      <c r="A48" s="5" t="s">
        <v>141</v>
      </c>
      <c r="B48" s="6" t="s">
        <v>120</v>
      </c>
      <c r="C48" s="6" t="s">
        <v>142</v>
      </c>
      <c r="D48" s="6" t="s">
        <v>143</v>
      </c>
      <c r="E48" s="7" t="s">
        <v>13</v>
      </c>
      <c r="F48" s="6" t="s">
        <v>14</v>
      </c>
    </row>
    <row r="49" customFormat="false" ht="18" hidden="false" customHeight="true" outlineLevel="0" collapsed="false">
      <c r="A49" s="4" t="s">
        <v>144</v>
      </c>
      <c r="B49" s="4"/>
      <c r="C49" s="4"/>
      <c r="D49" s="4"/>
      <c r="E49" s="4"/>
      <c r="F49" s="4"/>
    </row>
    <row r="50" customFormat="false" ht="15" hidden="false" customHeight="false" outlineLevel="0" collapsed="false">
      <c r="A50" s="5" t="s">
        <v>145</v>
      </c>
      <c r="B50" s="6" t="s">
        <v>146</v>
      </c>
      <c r="C50" s="6" t="s">
        <v>147</v>
      </c>
      <c r="D50" s="6" t="s">
        <v>148</v>
      </c>
      <c r="E50" s="7" t="s">
        <v>13</v>
      </c>
      <c r="F50" s="6" t="s">
        <v>14</v>
      </c>
    </row>
    <row r="51" customFormat="false" ht="15" hidden="false" customHeight="false" outlineLevel="0" collapsed="false">
      <c r="A51" s="5" t="s">
        <v>149</v>
      </c>
      <c r="B51" s="6" t="s">
        <v>146</v>
      </c>
      <c r="C51" s="6" t="s">
        <v>150</v>
      </c>
      <c r="D51" s="6" t="s">
        <v>151</v>
      </c>
      <c r="E51" s="7" t="s">
        <v>13</v>
      </c>
      <c r="F51" s="6" t="s">
        <v>14</v>
      </c>
    </row>
    <row r="52" customFormat="false" ht="22.35" hidden="false" customHeight="false" outlineLevel="0" collapsed="false">
      <c r="A52" s="5" t="s">
        <v>152</v>
      </c>
      <c r="B52" s="6" t="s">
        <v>146</v>
      </c>
      <c r="C52" s="6" t="s">
        <v>153</v>
      </c>
      <c r="D52" s="6" t="s">
        <v>154</v>
      </c>
      <c r="E52" s="7" t="s">
        <v>13</v>
      </c>
      <c r="F52" s="6" t="s">
        <v>14</v>
      </c>
    </row>
    <row r="53" customFormat="false" ht="15" hidden="false" customHeight="false" outlineLevel="0" collapsed="false">
      <c r="A53" s="5" t="s">
        <v>155</v>
      </c>
      <c r="B53" s="6" t="s">
        <v>146</v>
      </c>
      <c r="C53" s="6" t="s">
        <v>156</v>
      </c>
      <c r="D53" s="6" t="s">
        <v>157</v>
      </c>
      <c r="E53" s="7" t="s">
        <v>13</v>
      </c>
      <c r="F53" s="6" t="s">
        <v>14</v>
      </c>
    </row>
    <row r="54" customFormat="false" ht="15" hidden="false" customHeight="false" outlineLevel="0" collapsed="false">
      <c r="A54" s="5" t="s">
        <v>158</v>
      </c>
      <c r="B54" s="6" t="s">
        <v>146</v>
      </c>
      <c r="C54" s="6" t="s">
        <v>159</v>
      </c>
      <c r="D54" s="6" t="s">
        <v>160</v>
      </c>
      <c r="E54" s="7" t="s">
        <v>13</v>
      </c>
      <c r="F54" s="6" t="s">
        <v>14</v>
      </c>
    </row>
    <row r="55" customFormat="false" ht="15" hidden="false" customHeight="false" outlineLevel="0" collapsed="false">
      <c r="A55" s="5" t="s">
        <v>161</v>
      </c>
      <c r="B55" s="6" t="s">
        <v>146</v>
      </c>
      <c r="C55" s="6" t="s">
        <v>162</v>
      </c>
      <c r="D55" s="6" t="s">
        <v>163</v>
      </c>
      <c r="E55" s="7" t="s">
        <v>13</v>
      </c>
      <c r="F55" s="6" t="s">
        <v>164</v>
      </c>
    </row>
    <row r="57" customFormat="false" ht="15" hidden="false" customHeight="false" outlineLevel="0" collapsed="false">
      <c r="A57" s="10" t="s">
        <v>165</v>
      </c>
      <c r="B57" s="11" t="s">
        <v>13</v>
      </c>
      <c r="C57" s="12" t="s">
        <v>52</v>
      </c>
      <c r="D57" s="13" t="s">
        <v>166</v>
      </c>
      <c r="E57" s="14" t="s">
        <v>85</v>
      </c>
    </row>
    <row r="59" customFormat="false" ht="15" hidden="false" customHeight="false" outlineLevel="0" collapsed="false">
      <c r="A59" s="10" t="s">
        <v>167</v>
      </c>
      <c r="B59" s="15" t="s">
        <v>13</v>
      </c>
      <c r="C59" s="10" t="n">
        <f aca="false">COUNTIF(E4:E55,"Covered")</f>
        <v>37</v>
      </c>
    </row>
    <row r="60" customFormat="false" ht="15" hidden="false" customHeight="false" outlineLevel="0" collapsed="false">
      <c r="B60" s="15" t="s">
        <v>52</v>
      </c>
      <c r="C60" s="10" t="n">
        <f aca="false">COUNTIF(E4:E55,"Partial")</f>
        <v>2</v>
      </c>
    </row>
    <row r="61" customFormat="false" ht="15" hidden="false" customHeight="false" outlineLevel="0" collapsed="false">
      <c r="B61" s="15" t="s">
        <v>166</v>
      </c>
      <c r="C61" s="10" t="n">
        <f aca="false">COUNTIF(E4:E55,"Gap")</f>
        <v>0</v>
      </c>
    </row>
    <row r="62" customFormat="false" ht="15" hidden="false" customHeight="false" outlineLevel="0" collapsed="false">
      <c r="B62" s="15" t="s">
        <v>85</v>
      </c>
      <c r="C62" s="10" t="n">
        <f aca="false">COUNTIF(E4:E55,"N/A")</f>
        <v>5</v>
      </c>
    </row>
  </sheetData>
  <mergeCells count="10">
    <mergeCell ref="A1:F1"/>
    <mergeCell ref="A2:F2"/>
    <mergeCell ref="A4:F4"/>
    <mergeCell ref="A13:F13"/>
    <mergeCell ref="A17:F17"/>
    <mergeCell ref="A24:F24"/>
    <mergeCell ref="A28:F28"/>
    <mergeCell ref="A34:F34"/>
    <mergeCell ref="A41:F41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2026-06-03T16:06:35Z</dcterms:created>
  <dc:creator>openpyxl</dc:creator>
  <dc:description/>
  <dc:language>en-US</dc:language>
  <cp:lastModifiedBy/>
  <dcterms:modified xsi:type="dcterms:W3CDTF">2026-06-03T16:06:35Z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