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Track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8"/>
    </font>
    <font>
      <name val="Arial"/>
      <b val="1"/>
      <color rgb="00FFFFFF"/>
      <sz val="9"/>
    </font>
    <font>
      <name val="Arial"/>
      <b val="1"/>
      <color rgb="001565C0"/>
      <sz val="9"/>
    </font>
    <font>
      <name val="Arial"/>
      <color rgb="001A1A1A"/>
      <sz val="9"/>
    </font>
    <font>
      <name val="Arial"/>
      <color rgb="00333333"/>
      <sz val="9"/>
    </font>
    <font>
      <name val="Arial"/>
      <i val="1"/>
      <color rgb="00444444"/>
      <sz val="8"/>
    </font>
    <font>
      <name val="Arial"/>
      <b val="1"/>
      <color rgb="00C62828"/>
      <sz val="9"/>
    </font>
    <font>
      <name val="Arial"/>
      <i val="1"/>
      <color rgb="00555555"/>
      <sz val="8"/>
    </font>
    <font>
      <name val="Arial"/>
      <b val="1"/>
      <color rgb="001B5E20"/>
      <sz val="9"/>
    </font>
    <font>
      <name val="Arial"/>
      <b val="1"/>
      <color rgb="0000695C"/>
      <sz val="9"/>
    </font>
    <font>
      <name val="Arial"/>
      <b val="1"/>
      <color rgb="004A148C"/>
      <sz val="9"/>
    </font>
    <font>
      <name val="Arial"/>
      <b val="1"/>
      <color rgb="00E65100"/>
      <sz val="9"/>
    </font>
    <font>
      <name val="Arial"/>
      <b val="1"/>
      <color rgb="00880E4F"/>
      <sz val="9"/>
    </font>
    <font>
      <name val="Arial"/>
      <b val="1"/>
      <color rgb="00FFFFFF"/>
      <sz val="13"/>
    </font>
    <font>
      <name val="Arial"/>
      <b val="1"/>
      <color rgb="001A1A1A"/>
      <sz val="9"/>
    </font>
    <font>
      <name val="Arial"/>
      <color rgb="002E7D32"/>
      <sz val="9"/>
    </font>
    <font>
      <name val="Arial"/>
      <color rgb="00F57F17"/>
      <sz val="9"/>
    </font>
    <font>
      <name val="Arial"/>
      <color rgb="00C62828"/>
      <sz val="9"/>
    </font>
    <font>
      <name val="Arial"/>
      <b val="1"/>
      <color rgb="00FFFFFF"/>
      <sz val="10"/>
    </font>
    <font>
      <name val="Arial"/>
      <b val="1"/>
      <color rgb="001B5E20"/>
      <sz val="10"/>
    </font>
  </fonts>
  <fills count="16">
    <fill>
      <patternFill/>
    </fill>
    <fill>
      <patternFill patternType="gray125"/>
    </fill>
    <fill>
      <patternFill patternType="solid">
        <fgColor rgb="000D2B25"/>
      </patternFill>
    </fill>
    <fill>
      <patternFill patternType="solid">
        <fgColor rgb="001A3C34"/>
      </patternFill>
    </fill>
    <fill>
      <patternFill patternType="solid">
        <fgColor rgb="00E3F2FD"/>
      </patternFill>
    </fill>
    <fill>
      <patternFill patternType="solid">
        <fgColor rgb="00F0F7F4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0C4C0"/>
      </left>
      <right style="thin">
        <color rgb="00B0C4C0"/>
      </right>
      <top style="thin">
        <color rgb="00B0C4C0"/>
      </top>
      <bottom style="thin">
        <color rgb="00B0C4C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2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13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5" fillId="2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9" fontId="16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9" fontId="16" fillId="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center" vertical="center"/>
    </xf>
    <xf numFmtId="9" fontId="20" fillId="13" borderId="1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" customWidth="1" min="3" max="3"/>
    <col width="12" customWidth="1" min="4" max="4"/>
    <col width="28" customWidth="1" min="5" max="5"/>
    <col width="22" customWidth="1" min="6" max="6"/>
    <col width="30" customWidth="1" min="7" max="7"/>
    <col width="8" customWidth="1" min="8" max="8"/>
    <col width="18" customWidth="1" min="9" max="9"/>
    <col width="12" customWidth="1" min="10" max="10"/>
    <col width="12" customWidth="1" min="11" max="11"/>
    <col width="18" customWidth="1" min="12" max="12"/>
    <col width="10" customWidth="1" min="13" max="13"/>
    <col width="10" customWidth="1" min="14" max="14"/>
    <col width="12" customWidth="1" min="15" max="15"/>
    <col width="10" customWidth="1" min="16" max="16"/>
  </cols>
  <sheetData>
    <row r="1" ht="30" customHeight="1">
      <c r="A1" s="1" t="inlineStr">
        <is>
          <t>FCRM Risk Assessment FY2025 — Evidence Tracker</t>
        </is>
      </c>
    </row>
    <row r="2" ht="16" customHeight="1">
      <c r="A2" s="2" t="inlineStr">
        <is>
          <t>Maps each process step to required evidence, owner, location, and status  |  System of Record: SharePoint + Jira  |  Last Updated: April 2026</t>
        </is>
      </c>
    </row>
    <row r="3" ht="6" customHeight="1"/>
    <row r="4" ht="36" customHeight="1">
      <c r="A4" s="3" t="inlineStr">
        <is>
          <t>Process</t>
        </is>
      </c>
      <c r="B4" s="3" t="inlineStr">
        <is>
          <t>Sub-Process / Step</t>
        </is>
      </c>
      <c r="C4" s="3" t="inlineStr">
        <is>
          <t>Step #</t>
        </is>
      </c>
      <c r="D4" s="3" t="inlineStr">
        <is>
          <t>Owner</t>
        </is>
      </c>
      <c r="E4" s="3" t="inlineStr">
        <is>
          <t>Expected Evidence / Artifact</t>
        </is>
      </c>
      <c r="F4" s="3" t="inlineStr">
        <is>
          <t>Artifact Name / File</t>
        </is>
      </c>
      <c r="G4" s="3" t="inlineStr">
        <is>
          <t>SharePoint / Jira Location</t>
        </is>
      </c>
      <c r="H4" s="3" t="inlineStr">
        <is>
          <t>Status</t>
        </is>
      </c>
      <c r="I4" s="3" t="inlineStr">
        <is>
          <t>Jira Ticket(s)</t>
        </is>
      </c>
      <c r="J4" s="3" t="inlineStr">
        <is>
          <t>Last Verified</t>
        </is>
      </c>
      <c r="K4" s="3" t="inlineStr">
        <is>
          <t>Verified By</t>
        </is>
      </c>
      <c r="L4" s="3" t="inlineStr">
        <is>
          <t>Gap / Notes</t>
        </is>
      </c>
      <c r="M4" s="3" t="inlineStr">
        <is>
          <t>Priority</t>
        </is>
      </c>
      <c r="N4" s="3" t="inlineStr">
        <is>
          <t>Due Date</t>
        </is>
      </c>
      <c r="O4" s="3" t="inlineStr">
        <is>
          <t>Linked SOP</t>
        </is>
      </c>
      <c r="P4" s="3" t="inlineStr">
        <is>
          <t>Audit Ready?</t>
        </is>
      </c>
    </row>
    <row r="5" ht="22" customHeight="1">
      <c r="A5" s="4" t="inlineStr">
        <is>
          <t>Delivery Process</t>
        </is>
      </c>
      <c r="B5" s="5" t="inlineStr">
        <is>
          <t>Intake Request</t>
        </is>
      </c>
      <c r="C5" s="6" t="inlineStr">
        <is>
          <t>0</t>
        </is>
      </c>
      <c r="D5" s="7" t="inlineStr">
        <is>
          <t>Amandeep</t>
        </is>
      </c>
      <c r="E5" s="8" t="inlineStr">
        <is>
          <t>Jira ticket created, CDE list, initial review record</t>
        </is>
      </c>
      <c r="F5" s="7" t="inlineStr"/>
      <c r="G5" s="7" t="inlineStr"/>
      <c r="H5" s="9" t="inlineStr">
        <is>
          <t>Missing</t>
        </is>
      </c>
      <c r="I5" s="7" t="inlineStr"/>
      <c r="J5" s="10" t="inlineStr"/>
      <c r="K5" s="7" t="inlineStr"/>
      <c r="L5" s="7" t="inlineStr"/>
      <c r="M5" s="10" t="inlineStr"/>
      <c r="N5" s="10" t="inlineStr"/>
      <c r="O5" s="11" t="inlineStr">
        <is>
          <t>01 - Delivery Process SOP v1.2</t>
        </is>
      </c>
      <c r="P5" s="12" t="inlineStr">
        <is>
          <t>No</t>
        </is>
      </c>
    </row>
    <row r="6" ht="22" customHeight="1">
      <c r="A6" s="13" t="inlineStr"/>
      <c r="B6" s="5" t="inlineStr">
        <is>
          <t>Scope / Requirement Def.</t>
        </is>
      </c>
      <c r="C6" s="6" t="inlineStr">
        <is>
          <t>1</t>
        </is>
      </c>
      <c r="D6" s="14" t="inlineStr">
        <is>
          <t>Amandeep</t>
        </is>
      </c>
      <c r="E6" s="15" t="inlineStr">
        <is>
          <t>Scope &amp; Requirements Document, SOW reference</t>
        </is>
      </c>
      <c r="F6" s="14" t="inlineStr"/>
      <c r="G6" s="14" t="inlineStr"/>
      <c r="H6" s="9" t="inlineStr">
        <is>
          <t>Missing</t>
        </is>
      </c>
      <c r="I6" s="14" t="inlineStr"/>
      <c r="J6" s="16" t="inlineStr"/>
      <c r="K6" s="14" t="inlineStr"/>
      <c r="L6" s="14" t="inlineStr"/>
      <c r="M6" s="16" t="inlineStr"/>
      <c r="N6" s="16" t="inlineStr"/>
      <c r="O6" s="17" t="inlineStr">
        <is>
          <t>01 - Delivery Process SOP v1.2</t>
        </is>
      </c>
      <c r="P6" s="12" t="inlineStr">
        <is>
          <t>No</t>
        </is>
      </c>
    </row>
    <row r="7" ht="22" customHeight="1">
      <c r="A7" s="13" t="inlineStr"/>
      <c r="B7" s="5" t="inlineStr">
        <is>
          <t>Data Acquisition</t>
        </is>
      </c>
      <c r="C7" s="6" t="inlineStr">
        <is>
          <t>2</t>
        </is>
      </c>
      <c r="D7" s="7" t="inlineStr">
        <is>
          <t>Amandeep</t>
        </is>
      </c>
      <c r="E7" s="8" t="inlineStr">
        <is>
          <t>Extraction scripts, extracted dataset files in CA AZ</t>
        </is>
      </c>
      <c r="F7" s="7" t="inlineStr"/>
      <c r="G7" s="7" t="inlineStr"/>
      <c r="H7" s="9" t="inlineStr">
        <is>
          <t>Missing</t>
        </is>
      </c>
      <c r="I7" s="7" t="inlineStr"/>
      <c r="J7" s="10" t="inlineStr"/>
      <c r="K7" s="7" t="inlineStr"/>
      <c r="L7" s="7" t="inlineStr"/>
      <c r="M7" s="10" t="inlineStr"/>
      <c r="N7" s="10" t="inlineStr"/>
      <c r="O7" s="11" t="inlineStr">
        <is>
          <t>01 - Delivery Process SOP v1.2</t>
        </is>
      </c>
      <c r="P7" s="12" t="inlineStr">
        <is>
          <t>No</t>
        </is>
      </c>
    </row>
    <row r="8" ht="22" customHeight="1">
      <c r="A8" s="13" t="inlineStr"/>
      <c r="B8" s="5" t="inlineStr">
        <is>
          <t>Logic Development (Build)</t>
        </is>
      </c>
      <c r="C8" s="6" t="inlineStr">
        <is>
          <t>3</t>
        </is>
      </c>
      <c r="D8" s="14" t="inlineStr">
        <is>
          <t>Karthik</t>
        </is>
      </c>
      <c r="E8" s="15" t="inlineStr">
        <is>
          <t>Python-SQL queries in Git, Jira ticket in BUILD IN PROGRESS</t>
        </is>
      </c>
      <c r="F8" s="14" t="inlineStr"/>
      <c r="G8" s="14" t="inlineStr"/>
      <c r="H8" s="9" t="inlineStr">
        <is>
          <t>Missing</t>
        </is>
      </c>
      <c r="I8" s="14" t="inlineStr"/>
      <c r="J8" s="16" t="inlineStr"/>
      <c r="K8" s="14" t="inlineStr"/>
      <c r="L8" s="14" t="inlineStr"/>
      <c r="M8" s="16" t="inlineStr"/>
      <c r="N8" s="16" t="inlineStr"/>
      <c r="O8" s="17" t="inlineStr">
        <is>
          <t>01 - Delivery Process SOP v1.2</t>
        </is>
      </c>
      <c r="P8" s="12" t="inlineStr">
        <is>
          <t>No</t>
        </is>
      </c>
    </row>
    <row r="9" ht="22" customHeight="1">
      <c r="A9" s="13" t="inlineStr"/>
      <c r="B9" s="5" t="inlineStr">
        <is>
          <t>Technical Specifications</t>
        </is>
      </c>
      <c r="C9" s="6" t="inlineStr">
        <is>
          <t>4</t>
        </is>
      </c>
      <c r="D9" s="7" t="inlineStr">
        <is>
          <t>Karthik</t>
        </is>
      </c>
      <c r="E9" s="8" t="inlineStr">
        <is>
          <t>Tech spec doc, transformation logic, field-level mapping</t>
        </is>
      </c>
      <c r="F9" s="7" t="inlineStr"/>
      <c r="G9" s="7" t="inlineStr"/>
      <c r="H9" s="9" t="inlineStr">
        <is>
          <t>Missing</t>
        </is>
      </c>
      <c r="I9" s="7" t="inlineStr"/>
      <c r="J9" s="10" t="inlineStr"/>
      <c r="K9" s="7" t="inlineStr"/>
      <c r="L9" s="7" t="inlineStr"/>
      <c r="M9" s="10" t="inlineStr"/>
      <c r="N9" s="10" t="inlineStr"/>
      <c r="O9" s="11" t="inlineStr">
        <is>
          <t>01 - Delivery Process SOP v1.2</t>
        </is>
      </c>
      <c r="P9" s="12" t="inlineStr">
        <is>
          <t>No</t>
        </is>
      </c>
    </row>
    <row r="10" ht="22" customHeight="1">
      <c r="A10" s="13" t="inlineStr"/>
      <c r="B10" s="5" t="inlineStr">
        <is>
          <t>Output Validation</t>
        </is>
      </c>
      <c r="C10" s="6" t="inlineStr">
        <is>
          <t>5</t>
        </is>
      </c>
      <c r="D10" s="14" t="inlineStr">
        <is>
          <t>Karthik</t>
        </is>
      </c>
      <c r="E10" s="15" t="inlineStr">
        <is>
          <t>Output validation report, reconciliation results</t>
        </is>
      </c>
      <c r="F10" s="14" t="inlineStr"/>
      <c r="G10" s="14" t="inlineStr"/>
      <c r="H10" s="9" t="inlineStr">
        <is>
          <t>Missing</t>
        </is>
      </c>
      <c r="I10" s="14" t="inlineStr"/>
      <c r="J10" s="16" t="inlineStr"/>
      <c r="K10" s="14" t="inlineStr"/>
      <c r="L10" s="14" t="inlineStr"/>
      <c r="M10" s="16" t="inlineStr"/>
      <c r="N10" s="16" t="inlineStr"/>
      <c r="O10" s="17" t="inlineStr">
        <is>
          <t>01 - Delivery Process SOP v1.2</t>
        </is>
      </c>
      <c r="P10" s="12" t="inlineStr">
        <is>
          <t>No</t>
        </is>
      </c>
    </row>
    <row r="11" ht="22" customHeight="1">
      <c r="A11" s="13" t="inlineStr"/>
      <c r="B11" s="5" t="inlineStr">
        <is>
          <t>Approval</t>
        </is>
      </c>
      <c r="C11" s="6" t="inlineStr">
        <is>
          <t>6</t>
        </is>
      </c>
      <c r="D11" s="7" t="inlineStr">
        <is>
          <t>Karthik</t>
        </is>
      </c>
      <c r="E11" s="8" t="inlineStr">
        <is>
          <t>Jira ticket in PO CONCURRENCE → PO APPROVED state</t>
        </is>
      </c>
      <c r="F11" s="7" t="inlineStr"/>
      <c r="G11" s="7" t="inlineStr"/>
      <c r="H11" s="9" t="inlineStr">
        <is>
          <t>Missing</t>
        </is>
      </c>
      <c r="I11" s="7" t="inlineStr"/>
      <c r="J11" s="10" t="inlineStr"/>
      <c r="K11" s="7" t="inlineStr"/>
      <c r="L11" s="7" t="inlineStr"/>
      <c r="M11" s="10" t="inlineStr"/>
      <c r="N11" s="10" t="inlineStr"/>
      <c r="O11" s="11" t="inlineStr">
        <is>
          <t>01 - Delivery Process SOP v1.2</t>
        </is>
      </c>
      <c r="P11" s="12" t="inlineStr">
        <is>
          <t>No</t>
        </is>
      </c>
    </row>
    <row r="12" ht="22" customHeight="1">
      <c r="A12" s="13" t="inlineStr"/>
      <c r="B12" s="5" t="inlineStr">
        <is>
          <t>Deployment</t>
        </is>
      </c>
      <c r="C12" s="6" t="inlineStr">
        <is>
          <t>7</t>
        </is>
      </c>
      <c r="D12" s="14" t="inlineStr">
        <is>
          <t>Karthik</t>
        </is>
      </c>
      <c r="E12" s="15" t="inlineStr">
        <is>
          <t>Deployment log, release record</t>
        </is>
      </c>
      <c r="F12" s="14" t="inlineStr"/>
      <c r="G12" s="14" t="inlineStr"/>
      <c r="H12" s="9" t="inlineStr">
        <is>
          <t>Missing</t>
        </is>
      </c>
      <c r="I12" s="14" t="inlineStr"/>
      <c r="J12" s="16" t="inlineStr"/>
      <c r="K12" s="14" t="inlineStr"/>
      <c r="L12" s="14" t="inlineStr"/>
      <c r="M12" s="16" t="inlineStr"/>
      <c r="N12" s="16" t="inlineStr"/>
      <c r="O12" s="17" t="inlineStr">
        <is>
          <t>01 - Delivery Process SOP v1.2</t>
        </is>
      </c>
      <c r="P12" s="12" t="inlineStr">
        <is>
          <t>No</t>
        </is>
      </c>
    </row>
    <row r="13" ht="22" customHeight="1">
      <c r="A13" s="13" t="inlineStr"/>
      <c r="B13" s="5" t="inlineStr">
        <is>
          <t>Delivery / Document</t>
        </is>
      </c>
      <c r="C13" s="6" t="inlineStr">
        <is>
          <t>8</t>
        </is>
      </c>
      <c r="D13" s="7" t="inlineStr">
        <is>
          <t>Karthik</t>
        </is>
      </c>
      <c r="E13" s="8" t="inlineStr">
        <is>
          <t>Final output files, delivery confirmation</t>
        </is>
      </c>
      <c r="F13" s="7" t="inlineStr"/>
      <c r="G13" s="7" t="inlineStr"/>
      <c r="H13" s="9" t="inlineStr">
        <is>
          <t>Missing</t>
        </is>
      </c>
      <c r="I13" s="7" t="inlineStr"/>
      <c r="J13" s="10" t="inlineStr"/>
      <c r="K13" s="7" t="inlineStr"/>
      <c r="L13" s="7" t="inlineStr"/>
      <c r="M13" s="10" t="inlineStr"/>
      <c r="N13" s="10" t="inlineStr"/>
      <c r="O13" s="11" t="inlineStr">
        <is>
          <t>01 - Delivery Process SOP v1.2</t>
        </is>
      </c>
      <c r="P13" s="12" t="inlineStr">
        <is>
          <t>No</t>
        </is>
      </c>
    </row>
    <row r="14" ht="22" customHeight="1">
      <c r="A14" s="18" t="inlineStr">
        <is>
          <t>Validation &amp; QA</t>
        </is>
      </c>
      <c r="B14" s="19" t="inlineStr">
        <is>
          <t>Validation Planning</t>
        </is>
      </c>
      <c r="C14" s="20" t="inlineStr">
        <is>
          <t>1</t>
        </is>
      </c>
      <c r="D14" s="14" t="inlineStr">
        <is>
          <t>Priyanshi</t>
        </is>
      </c>
      <c r="E14" s="15" t="inlineStr">
        <is>
          <t>Validation Plan Document, Risk Assessment Matrix</t>
        </is>
      </c>
      <c r="F14" s="14" t="inlineStr"/>
      <c r="G14" s="14" t="inlineStr"/>
      <c r="H14" s="9" t="inlineStr">
        <is>
          <t>Missing</t>
        </is>
      </c>
      <c r="I14" s="14" t="inlineStr"/>
      <c r="J14" s="16" t="inlineStr"/>
      <c r="K14" s="14" t="inlineStr"/>
      <c r="L14" s="14" t="inlineStr"/>
      <c r="M14" s="16" t="inlineStr"/>
      <c r="N14" s="16" t="inlineStr"/>
      <c r="O14" s="17" t="inlineStr">
        <is>
          <t>02 - QA &amp; Governance SOP v2.1</t>
        </is>
      </c>
      <c r="P14" s="12" t="inlineStr">
        <is>
          <t>No</t>
        </is>
      </c>
    </row>
    <row r="15" ht="22" customHeight="1">
      <c r="A15" s="21" t="inlineStr"/>
      <c r="B15" s="19" t="inlineStr">
        <is>
          <t>Data Quality Checks</t>
        </is>
      </c>
      <c r="C15" s="20" t="inlineStr">
        <is>
          <t>2</t>
        </is>
      </c>
      <c r="D15" s="7" t="inlineStr">
        <is>
          <t>Priyanshi</t>
        </is>
      </c>
      <c r="E15" s="8" t="inlineStr">
        <is>
          <t>DQ check results (completeness, accuracy, consistency, uniqueness, timeliness)</t>
        </is>
      </c>
      <c r="F15" s="7" t="inlineStr"/>
      <c r="G15" s="7" t="inlineStr"/>
      <c r="H15" s="9" t="inlineStr">
        <is>
          <t>Missing</t>
        </is>
      </c>
      <c r="I15" s="7" t="inlineStr"/>
      <c r="J15" s="10" t="inlineStr"/>
      <c r="K15" s="7" t="inlineStr"/>
      <c r="L15" s="7" t="inlineStr"/>
      <c r="M15" s="10" t="inlineStr"/>
      <c r="N15" s="10" t="inlineStr"/>
      <c r="O15" s="11" t="inlineStr">
        <is>
          <t>02 - QA &amp; Governance SOP v2.1</t>
        </is>
      </c>
      <c r="P15" s="12" t="inlineStr">
        <is>
          <t>No</t>
        </is>
      </c>
    </row>
    <row r="16" ht="22" customHeight="1">
      <c r="A16" s="21" t="inlineStr"/>
      <c r="B16" s="19" t="inlineStr">
        <is>
          <t>Reconciliation</t>
        </is>
      </c>
      <c r="C16" s="20" t="inlineStr">
        <is>
          <t>3</t>
        </is>
      </c>
      <c r="D16" s="14" t="inlineStr">
        <is>
          <t>Priyanshi</t>
        </is>
      </c>
      <c r="E16" s="15" t="inlineStr">
        <is>
          <t>Reconciliation report, variance analysis log</t>
        </is>
      </c>
      <c r="F16" s="14" t="inlineStr"/>
      <c r="G16" s="14" t="inlineStr"/>
      <c r="H16" s="9" t="inlineStr">
        <is>
          <t>Missing</t>
        </is>
      </c>
      <c r="I16" s="14" t="inlineStr"/>
      <c r="J16" s="16" t="inlineStr"/>
      <c r="K16" s="14" t="inlineStr"/>
      <c r="L16" s="14" t="inlineStr"/>
      <c r="M16" s="16" t="inlineStr"/>
      <c r="N16" s="16" t="inlineStr"/>
      <c r="O16" s="17" t="inlineStr">
        <is>
          <t>02 - QA &amp; Governance SOP v2.1</t>
        </is>
      </c>
      <c r="P16" s="12" t="inlineStr">
        <is>
          <t>No</t>
        </is>
      </c>
    </row>
    <row r="17" ht="22" customHeight="1">
      <c r="A17" s="21" t="inlineStr"/>
      <c r="B17" s="19" t="inlineStr">
        <is>
          <t>Reasonability Analysis</t>
        </is>
      </c>
      <c r="C17" s="20" t="inlineStr">
        <is>
          <t>4</t>
        </is>
      </c>
      <c r="D17" s="7" t="inlineStr">
        <is>
          <t>Priyanshi</t>
        </is>
      </c>
      <c r="E17" s="8" t="inlineStr">
        <is>
          <t>Trend analysis output, outlier detection log, threshold validation</t>
        </is>
      </c>
      <c r="F17" s="7" t="inlineStr"/>
      <c r="G17" s="7" t="inlineStr"/>
      <c r="H17" s="9" t="inlineStr">
        <is>
          <t>Missing</t>
        </is>
      </c>
      <c r="I17" s="7" t="inlineStr"/>
      <c r="J17" s="10" t="inlineStr"/>
      <c r="K17" s="7" t="inlineStr"/>
      <c r="L17" s="7" t="inlineStr"/>
      <c r="M17" s="10" t="inlineStr"/>
      <c r="N17" s="10" t="inlineStr"/>
      <c r="O17" s="11" t="inlineStr">
        <is>
          <t>02 - QA &amp; Governance SOP v2.1</t>
        </is>
      </c>
      <c r="P17" s="12" t="inlineStr">
        <is>
          <t>No</t>
        </is>
      </c>
    </row>
    <row r="18" ht="22" customHeight="1">
      <c r="A18" s="21" t="inlineStr"/>
      <c r="B18" s="19" t="inlineStr">
        <is>
          <t>Peer Review</t>
        </is>
      </c>
      <c r="C18" s="20" t="inlineStr">
        <is>
          <t>5</t>
        </is>
      </c>
      <c r="D18" s="14" t="inlineStr">
        <is>
          <t>Sujai</t>
        </is>
      </c>
      <c r="E18" s="15" t="inlineStr">
        <is>
          <t>Peer review sign-off, review comments log</t>
        </is>
      </c>
      <c r="F18" s="14" t="inlineStr"/>
      <c r="G18" s="14" t="inlineStr"/>
      <c r="H18" s="9" t="inlineStr">
        <is>
          <t>Missing</t>
        </is>
      </c>
      <c r="I18" s="14" t="inlineStr"/>
      <c r="J18" s="16" t="inlineStr"/>
      <c r="K18" s="14" t="inlineStr"/>
      <c r="L18" s="14" t="inlineStr"/>
      <c r="M18" s="16" t="inlineStr"/>
      <c r="N18" s="16" t="inlineStr"/>
      <c r="O18" s="17" t="inlineStr">
        <is>
          <t>02 - QA &amp; Governance SOP v2.1</t>
        </is>
      </c>
      <c r="P18" s="12" t="inlineStr">
        <is>
          <t>No</t>
        </is>
      </c>
    </row>
    <row r="19" ht="22" customHeight="1">
      <c r="A19" s="21" t="inlineStr"/>
      <c r="B19" s="19" t="inlineStr">
        <is>
          <t>Output Verification</t>
        </is>
      </c>
      <c r="C19" s="20" t="inlineStr">
        <is>
          <t>6</t>
        </is>
      </c>
      <c r="D19" s="7" t="inlineStr">
        <is>
          <t>Sujai</t>
        </is>
      </c>
      <c r="E19" s="8" t="inlineStr">
        <is>
          <t>Output verification report, format compliance log</t>
        </is>
      </c>
      <c r="F19" s="7" t="inlineStr"/>
      <c r="G19" s="7" t="inlineStr"/>
      <c r="H19" s="9" t="inlineStr">
        <is>
          <t>Missing</t>
        </is>
      </c>
      <c r="I19" s="7" t="inlineStr"/>
      <c r="J19" s="10" t="inlineStr"/>
      <c r="K19" s="7" t="inlineStr"/>
      <c r="L19" s="7" t="inlineStr"/>
      <c r="M19" s="10" t="inlineStr"/>
      <c r="N19" s="10" t="inlineStr"/>
      <c r="O19" s="11" t="inlineStr">
        <is>
          <t>02 - QA &amp; Governance SOP v2.1</t>
        </is>
      </c>
      <c r="P19" s="12" t="inlineStr">
        <is>
          <t>No</t>
        </is>
      </c>
    </row>
    <row r="20" ht="22" customHeight="1">
      <c r="A20" s="21" t="inlineStr"/>
      <c r="B20" s="19" t="inlineStr">
        <is>
          <t>Issue Logging</t>
        </is>
      </c>
      <c r="C20" s="20" t="inlineStr">
        <is>
          <t>7</t>
        </is>
      </c>
      <c r="D20" s="14" t="inlineStr">
        <is>
          <t>Sujai</t>
        </is>
      </c>
      <c r="E20" s="15" t="inlineStr">
        <is>
          <t>RAID log entry, Jira BLOCKED ticket with issue detail</t>
        </is>
      </c>
      <c r="F20" s="14" t="inlineStr"/>
      <c r="G20" s="14" t="inlineStr"/>
      <c r="H20" s="9" t="inlineStr">
        <is>
          <t>Missing</t>
        </is>
      </c>
      <c r="I20" s="14" t="inlineStr"/>
      <c r="J20" s="16" t="inlineStr"/>
      <c r="K20" s="14" t="inlineStr"/>
      <c r="L20" s="14" t="inlineStr"/>
      <c r="M20" s="16" t="inlineStr"/>
      <c r="N20" s="16" t="inlineStr"/>
      <c r="O20" s="17" t="inlineStr">
        <is>
          <t>02 - QA &amp; Governance SOP v2.1</t>
        </is>
      </c>
      <c r="P20" s="12" t="inlineStr">
        <is>
          <t>No</t>
        </is>
      </c>
    </row>
    <row r="21" ht="22" customHeight="1">
      <c r="A21" s="21" t="inlineStr"/>
      <c r="B21" s="19" t="inlineStr">
        <is>
          <t>Sign-Off &amp; Approval</t>
        </is>
      </c>
      <c r="C21" s="20" t="inlineStr">
        <is>
          <t>8</t>
        </is>
      </c>
      <c r="D21" s="7" t="inlineStr">
        <is>
          <t>Sujai</t>
        </is>
      </c>
      <c r="E21" s="8" t="inlineStr">
        <is>
          <t>Signed approval record (AVP+), final validation report</t>
        </is>
      </c>
      <c r="F21" s="7" t="inlineStr"/>
      <c r="G21" s="7" t="inlineStr"/>
      <c r="H21" s="9" t="inlineStr">
        <is>
          <t>Missing</t>
        </is>
      </c>
      <c r="I21" s="7" t="inlineStr"/>
      <c r="J21" s="10" t="inlineStr"/>
      <c r="K21" s="7" t="inlineStr"/>
      <c r="L21" s="7" t="inlineStr"/>
      <c r="M21" s="10" t="inlineStr"/>
      <c r="N21" s="10" t="inlineStr"/>
      <c r="O21" s="11" t="inlineStr">
        <is>
          <t>02 - QA &amp; Governance SOP v2.1</t>
        </is>
      </c>
      <c r="P21" s="12" t="inlineStr">
        <is>
          <t>No</t>
        </is>
      </c>
    </row>
    <row r="22" ht="22" customHeight="1">
      <c r="A22" s="22" t="inlineStr">
        <is>
          <t>Data Sourcing &amp; Lineage</t>
        </is>
      </c>
      <c r="B22" s="23" t="inlineStr">
        <is>
          <t>Source Identification</t>
        </is>
      </c>
      <c r="C22" s="24" t="inlineStr">
        <is>
          <t>1</t>
        </is>
      </c>
      <c r="D22" s="14" t="inlineStr">
        <is>
          <t>Hua</t>
        </is>
      </c>
      <c r="E22" s="15" t="inlineStr">
        <is>
          <t>Master_Data_source_FY2025.xlsx, source identification log</t>
        </is>
      </c>
      <c r="F22" s="14" t="inlineStr"/>
      <c r="G22" s="14" t="inlineStr"/>
      <c r="H22" s="9" t="inlineStr">
        <is>
          <t>Missing</t>
        </is>
      </c>
      <c r="I22" s="14" t="inlineStr"/>
      <c r="J22" s="16" t="inlineStr"/>
      <c r="K22" s="14" t="inlineStr"/>
      <c r="L22" s="14" t="inlineStr"/>
      <c r="M22" s="16" t="inlineStr"/>
      <c r="N22" s="16" t="inlineStr"/>
      <c r="O22" s="17" t="inlineStr">
        <is>
          <t>03 - Data Sourcing &amp; Lineage v1.0</t>
        </is>
      </c>
      <c r="P22" s="12" t="inlineStr">
        <is>
          <t>No</t>
        </is>
      </c>
    </row>
    <row r="23" ht="22" customHeight="1">
      <c r="A23" s="25" t="inlineStr"/>
      <c r="B23" s="23" t="inlineStr">
        <is>
          <t>Access Enablement</t>
        </is>
      </c>
      <c r="C23" s="24" t="inlineStr">
        <is>
          <t>2</t>
        </is>
      </c>
      <c r="D23" s="7" t="inlineStr">
        <is>
          <t>Hua</t>
        </is>
      </c>
      <c r="E23" s="8" t="inlineStr">
        <is>
          <t>PIA approval records, access request forms, access approval log</t>
        </is>
      </c>
      <c r="F23" s="7" t="inlineStr"/>
      <c r="G23" s="7" t="inlineStr"/>
      <c r="H23" s="9" t="inlineStr">
        <is>
          <t>Missing</t>
        </is>
      </c>
      <c r="I23" s="7" t="inlineStr"/>
      <c r="J23" s="10" t="inlineStr"/>
      <c r="K23" s="7" t="inlineStr"/>
      <c r="L23" s="7" t="inlineStr"/>
      <c r="M23" s="10" t="inlineStr"/>
      <c r="N23" s="10" t="inlineStr"/>
      <c r="O23" s="11" t="inlineStr">
        <is>
          <t>03 - Data Sourcing &amp; Lineage v1.0</t>
        </is>
      </c>
      <c r="P23" s="12" t="inlineStr">
        <is>
          <t>No</t>
        </is>
      </c>
    </row>
    <row r="24" ht="22" customHeight="1">
      <c r="A24" s="25" t="inlineStr"/>
      <c r="B24" s="23" t="inlineStr">
        <is>
          <t>Data Extraction</t>
        </is>
      </c>
      <c r="C24" s="24" t="inlineStr">
        <is>
          <t>3</t>
        </is>
      </c>
      <c r="D24" s="14" t="inlineStr">
        <is>
          <t>Hua</t>
        </is>
      </c>
      <c r="E24" s="15" t="inlineStr">
        <is>
          <t>Extracted dataset files (.csv/.parquet), extraction scripts, extraction validation report</t>
        </is>
      </c>
      <c r="F24" s="14" t="inlineStr"/>
      <c r="G24" s="14" t="inlineStr"/>
      <c r="H24" s="9" t="inlineStr">
        <is>
          <t>Missing</t>
        </is>
      </c>
      <c r="I24" s="14" t="inlineStr"/>
      <c r="J24" s="16" t="inlineStr"/>
      <c r="K24" s="14" t="inlineStr"/>
      <c r="L24" s="14" t="inlineStr"/>
      <c r="M24" s="16" t="inlineStr"/>
      <c r="N24" s="16" t="inlineStr"/>
      <c r="O24" s="17" t="inlineStr">
        <is>
          <t>03 - Data Sourcing &amp; Lineage v1.0</t>
        </is>
      </c>
      <c r="P24" s="12" t="inlineStr">
        <is>
          <t>No</t>
        </is>
      </c>
    </row>
    <row r="25" ht="22" customHeight="1">
      <c r="A25" s="25" t="inlineStr"/>
      <c r="B25" s="23" t="inlineStr">
        <is>
          <t>Data Understanding</t>
        </is>
      </c>
      <c r="C25" s="24" t="inlineStr">
        <is>
          <t>4</t>
        </is>
      </c>
      <c r="D25" s="7" t="inlineStr">
        <is>
          <t>Subham</t>
        </is>
      </c>
      <c r="E25" s="8" t="inlineStr">
        <is>
          <t>Data profiling reports, data dictionary / metadata documentation</t>
        </is>
      </c>
      <c r="F25" s="7" t="inlineStr"/>
      <c r="G25" s="7" t="inlineStr"/>
      <c r="H25" s="9" t="inlineStr">
        <is>
          <t>Missing</t>
        </is>
      </c>
      <c r="I25" s="7" t="inlineStr"/>
      <c r="J25" s="10" t="inlineStr"/>
      <c r="K25" s="7" t="inlineStr"/>
      <c r="L25" s="7" t="inlineStr"/>
      <c r="M25" s="10" t="inlineStr"/>
      <c r="N25" s="10" t="inlineStr"/>
      <c r="O25" s="11" t="inlineStr">
        <is>
          <t>03 - Data Sourcing &amp; Lineage v1.0</t>
        </is>
      </c>
      <c r="P25" s="12" t="inlineStr">
        <is>
          <t>No</t>
        </is>
      </c>
    </row>
    <row r="26" ht="22" customHeight="1">
      <c r="A26" s="25" t="inlineStr"/>
      <c r="B26" s="23" t="inlineStr">
        <is>
          <t>Lineage Documentation</t>
        </is>
      </c>
      <c r="C26" s="24" t="inlineStr">
        <is>
          <t>5</t>
        </is>
      </c>
      <c r="D26" s="14" t="inlineStr">
        <is>
          <t>Subham</t>
        </is>
      </c>
      <c r="E26" s="15" t="inlineStr">
        <is>
          <t>Data lineage diagrams, transformation logic documentation, lineage register</t>
        </is>
      </c>
      <c r="F26" s="14" t="inlineStr"/>
      <c r="G26" s="14" t="inlineStr"/>
      <c r="H26" s="9" t="inlineStr">
        <is>
          <t>Missing</t>
        </is>
      </c>
      <c r="I26" s="14" t="inlineStr"/>
      <c r="J26" s="16" t="inlineStr"/>
      <c r="K26" s="14" t="inlineStr"/>
      <c r="L26" s="14" t="inlineStr"/>
      <c r="M26" s="16" t="inlineStr"/>
      <c r="N26" s="16" t="inlineStr"/>
      <c r="O26" s="17" t="inlineStr">
        <is>
          <t>03 - Data Sourcing &amp; Lineage v1.0</t>
        </is>
      </c>
      <c r="P26" s="12" t="inlineStr">
        <is>
          <t>No</t>
        </is>
      </c>
    </row>
    <row r="27" ht="22" customHeight="1">
      <c r="A27" s="25" t="inlineStr"/>
      <c r="B27" s="23" t="inlineStr">
        <is>
          <t>Refresh Management</t>
        </is>
      </c>
      <c r="C27" s="24" t="inlineStr">
        <is>
          <t>6</t>
        </is>
      </c>
      <c r="D27" s="7" t="inlineStr">
        <is>
          <t>Raghul</t>
        </is>
      </c>
      <c r="E27" s="8" t="inlineStr">
        <is>
          <t>Refresh activity log, refresh validation reports</t>
        </is>
      </c>
      <c r="F27" s="7" t="inlineStr"/>
      <c r="G27" s="7" t="inlineStr"/>
      <c r="H27" s="9" t="inlineStr">
        <is>
          <t>Missing</t>
        </is>
      </c>
      <c r="I27" s="7" t="inlineStr"/>
      <c r="J27" s="10" t="inlineStr"/>
      <c r="K27" s="7" t="inlineStr"/>
      <c r="L27" s="7" t="inlineStr"/>
      <c r="M27" s="10" t="inlineStr"/>
      <c r="N27" s="10" t="inlineStr"/>
      <c r="O27" s="11" t="inlineStr">
        <is>
          <t>03 - Data Sourcing &amp; Lineage v1.0</t>
        </is>
      </c>
      <c r="P27" s="12" t="inlineStr">
        <is>
          <t>No</t>
        </is>
      </c>
    </row>
    <row r="28" ht="22" customHeight="1">
      <c r="A28" s="25" t="inlineStr"/>
      <c r="B28" s="23" t="inlineStr">
        <is>
          <t>Data Retention</t>
        </is>
      </c>
      <c r="C28" s="24" t="inlineStr">
        <is>
          <t>7</t>
        </is>
      </c>
      <c r="D28" s="14" t="inlineStr">
        <is>
          <t>Raghul</t>
        </is>
      </c>
      <c r="E28" s="15" t="inlineStr">
        <is>
          <t>Data retention statement, retention policy reference</t>
        </is>
      </c>
      <c r="F28" s="14" t="inlineStr"/>
      <c r="G28" s="14" t="inlineStr"/>
      <c r="H28" s="9" t="inlineStr">
        <is>
          <t>Missing</t>
        </is>
      </c>
      <c r="I28" s="14" t="inlineStr"/>
      <c r="J28" s="16" t="inlineStr"/>
      <c r="K28" s="14" t="inlineStr"/>
      <c r="L28" s="14" t="inlineStr"/>
      <c r="M28" s="16" t="inlineStr"/>
      <c r="N28" s="16" t="inlineStr"/>
      <c r="O28" s="17" t="inlineStr">
        <is>
          <t>03 - Data Sourcing &amp; Lineage v1.0</t>
        </is>
      </c>
      <c r="P28" s="12" t="inlineStr">
        <is>
          <t>No</t>
        </is>
      </c>
    </row>
    <row r="29" ht="22" customHeight="1">
      <c r="A29" s="26" t="inlineStr">
        <is>
          <t>Governance &amp; Issue Mgmt</t>
        </is>
      </c>
      <c r="B29" s="27" t="inlineStr">
        <is>
          <t>Decision Logging</t>
        </is>
      </c>
      <c r="C29" s="28" t="inlineStr">
        <is>
          <t>1</t>
        </is>
      </c>
      <c r="D29" s="7" t="inlineStr">
        <is>
          <t>Patty</t>
        </is>
      </c>
      <c r="E29" s="8" t="inlineStr">
        <is>
          <t>Jira ticket in BUSINESS LOGIC DESIGN DEF state with decision notes</t>
        </is>
      </c>
      <c r="F29" s="7" t="inlineStr"/>
      <c r="G29" s="7" t="inlineStr"/>
      <c r="H29" s="9" t="inlineStr">
        <is>
          <t>Missing</t>
        </is>
      </c>
      <c r="I29" s="7" t="inlineStr"/>
      <c r="J29" s="10" t="inlineStr"/>
      <c r="K29" s="7" t="inlineStr"/>
      <c r="L29" s="7" t="inlineStr"/>
      <c r="M29" s="10" t="inlineStr"/>
      <c r="N29" s="10" t="inlineStr"/>
      <c r="O29" s="11" t="inlineStr">
        <is>
          <t>04 - Governance SOP</t>
        </is>
      </c>
      <c r="P29" s="12" t="inlineStr">
        <is>
          <t>No</t>
        </is>
      </c>
    </row>
    <row r="30" ht="22" customHeight="1">
      <c r="A30" s="29" t="inlineStr"/>
      <c r="B30" s="27" t="inlineStr">
        <is>
          <t>Assumption Tracking</t>
        </is>
      </c>
      <c r="C30" s="28" t="inlineStr">
        <is>
          <t>2</t>
        </is>
      </c>
      <c r="D30" s="14" t="inlineStr">
        <is>
          <t>Patty</t>
        </is>
      </c>
      <c r="E30" s="15" t="inlineStr">
        <is>
          <t>Jira ticket in METRIC DEFINITION CLARIFICATION state, assumption log</t>
        </is>
      </c>
      <c r="F30" s="14" t="inlineStr"/>
      <c r="G30" s="14" t="inlineStr"/>
      <c r="H30" s="9" t="inlineStr">
        <is>
          <t>Missing</t>
        </is>
      </c>
      <c r="I30" s="14" t="inlineStr"/>
      <c r="J30" s="16" t="inlineStr"/>
      <c r="K30" s="14" t="inlineStr"/>
      <c r="L30" s="14" t="inlineStr"/>
      <c r="M30" s="16" t="inlineStr"/>
      <c r="N30" s="16" t="inlineStr"/>
      <c r="O30" s="17" t="inlineStr">
        <is>
          <t>04 - Governance SOP</t>
        </is>
      </c>
      <c r="P30" s="12" t="inlineStr">
        <is>
          <t>No</t>
        </is>
      </c>
    </row>
    <row r="31" ht="22" customHeight="1">
      <c r="A31" s="29" t="inlineStr"/>
      <c r="B31" s="27" t="inlineStr">
        <is>
          <t>Issue Logging</t>
        </is>
      </c>
      <c r="C31" s="28" t="inlineStr">
        <is>
          <t>3</t>
        </is>
      </c>
      <c r="D31" s="7" t="inlineStr">
        <is>
          <t>Patty</t>
        </is>
      </c>
      <c r="E31" s="8" t="inlineStr">
        <is>
          <t>RAID log entry, Jira BLOCKED ticket</t>
        </is>
      </c>
      <c r="F31" s="7" t="inlineStr"/>
      <c r="G31" s="7" t="inlineStr"/>
      <c r="H31" s="9" t="inlineStr">
        <is>
          <t>Missing</t>
        </is>
      </c>
      <c r="I31" s="7" t="inlineStr"/>
      <c r="J31" s="10" t="inlineStr"/>
      <c r="K31" s="7" t="inlineStr"/>
      <c r="L31" s="7" t="inlineStr"/>
      <c r="M31" s="10" t="inlineStr"/>
      <c r="N31" s="10" t="inlineStr"/>
      <c r="O31" s="11" t="inlineStr">
        <is>
          <t>04 - Governance SOP</t>
        </is>
      </c>
      <c r="P31" s="12" t="inlineStr">
        <is>
          <t>No</t>
        </is>
      </c>
    </row>
    <row r="32" ht="22" customHeight="1">
      <c r="A32" s="29" t="inlineStr"/>
      <c r="B32" s="27" t="inlineStr">
        <is>
          <t>Severity Assessment</t>
        </is>
      </c>
      <c r="C32" s="28" t="inlineStr">
        <is>
          <t>4</t>
        </is>
      </c>
      <c r="D32" s="14" t="inlineStr">
        <is>
          <t>Patty</t>
        </is>
      </c>
      <c r="E32" s="15" t="inlineStr">
        <is>
          <t>Severity classification (P1/P2) in RAID log</t>
        </is>
      </c>
      <c r="F32" s="14" t="inlineStr"/>
      <c r="G32" s="14" t="inlineStr"/>
      <c r="H32" s="9" t="inlineStr">
        <is>
          <t>Missing</t>
        </is>
      </c>
      <c r="I32" s="14" t="inlineStr"/>
      <c r="J32" s="16" t="inlineStr"/>
      <c r="K32" s="14" t="inlineStr"/>
      <c r="L32" s="14" t="inlineStr"/>
      <c r="M32" s="16" t="inlineStr"/>
      <c r="N32" s="16" t="inlineStr"/>
      <c r="O32" s="17" t="inlineStr">
        <is>
          <t>04 - Governance SOP</t>
        </is>
      </c>
      <c r="P32" s="12" t="inlineStr">
        <is>
          <t>No</t>
        </is>
      </c>
    </row>
    <row r="33" ht="22" customHeight="1">
      <c r="A33" s="29" t="inlineStr"/>
      <c r="B33" s="27" t="inlineStr">
        <is>
          <t>Escalation Pathways</t>
        </is>
      </c>
      <c r="C33" s="28" t="inlineStr">
        <is>
          <t>5</t>
        </is>
      </c>
      <c r="D33" s="7" t="inlineStr">
        <is>
          <t>Tom</t>
        </is>
      </c>
      <c r="E33" s="8" t="inlineStr">
        <is>
          <t>Escalation record, Jira comments showing escalation chain</t>
        </is>
      </c>
      <c r="F33" s="7" t="inlineStr"/>
      <c r="G33" s="7" t="inlineStr"/>
      <c r="H33" s="9" t="inlineStr">
        <is>
          <t>Missing</t>
        </is>
      </c>
      <c r="I33" s="7" t="inlineStr"/>
      <c r="J33" s="10" t="inlineStr"/>
      <c r="K33" s="7" t="inlineStr"/>
      <c r="L33" s="7" t="inlineStr"/>
      <c r="M33" s="10" t="inlineStr"/>
      <c r="N33" s="10" t="inlineStr"/>
      <c r="O33" s="11" t="inlineStr">
        <is>
          <t>04 - Governance SOP</t>
        </is>
      </c>
      <c r="P33" s="12" t="inlineStr">
        <is>
          <t>No</t>
        </is>
      </c>
    </row>
    <row r="34" ht="22" customHeight="1">
      <c r="A34" s="29" t="inlineStr"/>
      <c r="B34" s="27" t="inlineStr">
        <is>
          <t>Resolution &amp; Unblocking</t>
        </is>
      </c>
      <c r="C34" s="28" t="inlineStr">
        <is>
          <t>6</t>
        </is>
      </c>
      <c r="D34" s="14" t="inlineStr">
        <is>
          <t>Tom</t>
        </is>
      </c>
      <c r="E34" s="15" t="inlineStr">
        <is>
          <t>RAID log closure, Jira state transition off BLOCKED</t>
        </is>
      </c>
      <c r="F34" s="14" t="inlineStr"/>
      <c r="G34" s="14" t="inlineStr"/>
      <c r="H34" s="9" t="inlineStr">
        <is>
          <t>Missing</t>
        </is>
      </c>
      <c r="I34" s="14" t="inlineStr"/>
      <c r="J34" s="16" t="inlineStr"/>
      <c r="K34" s="14" t="inlineStr"/>
      <c r="L34" s="14" t="inlineStr"/>
      <c r="M34" s="16" t="inlineStr"/>
      <c r="N34" s="16" t="inlineStr"/>
      <c r="O34" s="17" t="inlineStr">
        <is>
          <t>04 - Governance SOP</t>
        </is>
      </c>
      <c r="P34" s="12" t="inlineStr">
        <is>
          <t>No</t>
        </is>
      </c>
    </row>
    <row r="35" ht="22" customHeight="1">
      <c r="A35" s="29" t="inlineStr"/>
      <c r="B35" s="27" t="inlineStr">
        <is>
          <t>Risk Acceptance</t>
        </is>
      </c>
      <c r="C35" s="28" t="inlineStr">
        <is>
          <t>7</t>
        </is>
      </c>
      <c r="D35" s="7" t="inlineStr">
        <is>
          <t>Tom</t>
        </is>
      </c>
      <c r="E35" s="8" t="inlineStr">
        <is>
          <t>Risk acceptance record, metric transitioned to NOT AVAILABLE</t>
        </is>
      </c>
      <c r="F35" s="7" t="inlineStr"/>
      <c r="G35" s="7" t="inlineStr"/>
      <c r="H35" s="9" t="inlineStr">
        <is>
          <t>Missing</t>
        </is>
      </c>
      <c r="I35" s="7" t="inlineStr"/>
      <c r="J35" s="10" t="inlineStr"/>
      <c r="K35" s="7" t="inlineStr"/>
      <c r="L35" s="7" t="inlineStr"/>
      <c r="M35" s="10" t="inlineStr"/>
      <c r="N35" s="10" t="inlineStr"/>
      <c r="O35" s="11" t="inlineStr">
        <is>
          <t>04 - Governance SOP</t>
        </is>
      </c>
      <c r="P35" s="12" t="inlineStr">
        <is>
          <t>No</t>
        </is>
      </c>
    </row>
    <row r="36" ht="22" customHeight="1">
      <c r="A36" s="29" t="inlineStr"/>
      <c r="B36" s="27" t="inlineStr">
        <is>
          <t>Decommissioning</t>
        </is>
      </c>
      <c r="C36" s="28" t="inlineStr">
        <is>
          <t>8</t>
        </is>
      </c>
      <c r="D36" s="14" t="inlineStr">
        <is>
          <t>Tom</t>
        </is>
      </c>
      <c r="E36" s="15" t="inlineStr">
        <is>
          <t>Jira state: NO LONGER REQUIRED or NOT APPLICABLE</t>
        </is>
      </c>
      <c r="F36" s="14" t="inlineStr"/>
      <c r="G36" s="14" t="inlineStr"/>
      <c r="H36" s="9" t="inlineStr">
        <is>
          <t>Missing</t>
        </is>
      </c>
      <c r="I36" s="14" t="inlineStr"/>
      <c r="J36" s="16" t="inlineStr"/>
      <c r="K36" s="14" t="inlineStr"/>
      <c r="L36" s="14" t="inlineStr"/>
      <c r="M36" s="16" t="inlineStr"/>
      <c r="N36" s="16" t="inlineStr"/>
      <c r="O36" s="17" t="inlineStr">
        <is>
          <t>04 - Governance SOP</t>
        </is>
      </c>
      <c r="P36" s="12" t="inlineStr">
        <is>
          <t>No</t>
        </is>
      </c>
    </row>
    <row r="37" ht="22" customHeight="1">
      <c r="A37" s="30" t="inlineStr">
        <is>
          <t>Access Control &amp; Security</t>
        </is>
      </c>
      <c r="B37" s="31" t="inlineStr">
        <is>
          <t>PIA Initiation</t>
        </is>
      </c>
      <c r="C37" s="32" t="inlineStr">
        <is>
          <t>1</t>
        </is>
      </c>
      <c r="D37" s="7" t="inlineStr">
        <is>
          <t>Hua</t>
        </is>
      </c>
      <c r="E37" s="8" t="inlineStr">
        <is>
          <t>PIA initiated for each data source requiring personal/sensitive data</t>
        </is>
      </c>
      <c r="F37" s="7" t="inlineStr"/>
      <c r="G37" s="7" t="inlineStr"/>
      <c r="H37" s="9" t="inlineStr">
        <is>
          <t>Missing</t>
        </is>
      </c>
      <c r="I37" s="7" t="inlineStr"/>
      <c r="J37" s="10" t="inlineStr"/>
      <c r="K37" s="7" t="inlineStr"/>
      <c r="L37" s="7" t="inlineStr"/>
      <c r="M37" s="10" t="inlineStr"/>
      <c r="N37" s="10" t="inlineStr"/>
      <c r="O37" s="11" t="inlineStr">
        <is>
          <t>05 - Access Control SOP</t>
        </is>
      </c>
      <c r="P37" s="12" t="inlineStr">
        <is>
          <t>No</t>
        </is>
      </c>
    </row>
    <row r="38" ht="22" customHeight="1">
      <c r="A38" s="33" t="inlineStr"/>
      <c r="B38" s="31" t="inlineStr">
        <is>
          <t>Access Request</t>
        </is>
      </c>
      <c r="C38" s="32" t="inlineStr">
        <is>
          <t>2</t>
        </is>
      </c>
      <c r="D38" s="14" t="inlineStr">
        <is>
          <t>Hua</t>
        </is>
      </c>
      <c r="E38" s="15" t="inlineStr">
        <is>
          <t>Access request forms submitted per system</t>
        </is>
      </c>
      <c r="F38" s="14" t="inlineStr"/>
      <c r="G38" s="14" t="inlineStr"/>
      <c r="H38" s="9" t="inlineStr">
        <is>
          <t>Missing</t>
        </is>
      </c>
      <c r="I38" s="14" t="inlineStr"/>
      <c r="J38" s="16" t="inlineStr"/>
      <c r="K38" s="14" t="inlineStr"/>
      <c r="L38" s="14" t="inlineStr"/>
      <c r="M38" s="16" t="inlineStr"/>
      <c r="N38" s="16" t="inlineStr"/>
      <c r="O38" s="17" t="inlineStr">
        <is>
          <t>05 - Access Control SOP</t>
        </is>
      </c>
      <c r="P38" s="12" t="inlineStr">
        <is>
          <t>No</t>
        </is>
      </c>
    </row>
    <row r="39" ht="22" customHeight="1">
      <c r="A39" s="33" t="inlineStr"/>
      <c r="B39" s="31" t="inlineStr">
        <is>
          <t>Access Approval</t>
        </is>
      </c>
      <c r="C39" s="32" t="inlineStr">
        <is>
          <t>3</t>
        </is>
      </c>
      <c r="D39" s="7" t="inlineStr">
        <is>
          <t>Hua</t>
        </is>
      </c>
      <c r="E39" s="8" t="inlineStr">
        <is>
          <t>Access approval records, confirmation emails</t>
        </is>
      </c>
      <c r="F39" s="7" t="inlineStr"/>
      <c r="G39" s="7" t="inlineStr"/>
      <c r="H39" s="9" t="inlineStr">
        <is>
          <t>Missing</t>
        </is>
      </c>
      <c r="I39" s="7" t="inlineStr"/>
      <c r="J39" s="10" t="inlineStr"/>
      <c r="K39" s="7" t="inlineStr"/>
      <c r="L39" s="7" t="inlineStr"/>
      <c r="M39" s="10" t="inlineStr"/>
      <c r="N39" s="10" t="inlineStr"/>
      <c r="O39" s="11" t="inlineStr">
        <is>
          <t>05 - Access Control SOP</t>
        </is>
      </c>
      <c r="P39" s="12" t="inlineStr">
        <is>
          <t>No</t>
        </is>
      </c>
    </row>
    <row r="40" ht="22" customHeight="1">
      <c r="A40" s="33" t="inlineStr"/>
      <c r="B40" s="31" t="inlineStr">
        <is>
          <t>DEV vs PROD Separation</t>
        </is>
      </c>
      <c r="C40" s="32" t="inlineStr">
        <is>
          <t>4</t>
        </is>
      </c>
      <c r="D40" s="14" t="inlineStr">
        <is>
          <t>TBD</t>
        </is>
      </c>
      <c r="E40" s="15" t="inlineStr">
        <is>
          <t>Evidence of environment separation, access matrix</t>
        </is>
      </c>
      <c r="F40" s="14" t="inlineStr"/>
      <c r="G40" s="14" t="inlineStr"/>
      <c r="H40" s="9" t="inlineStr">
        <is>
          <t>Missing</t>
        </is>
      </c>
      <c r="I40" s="14" t="inlineStr"/>
      <c r="J40" s="16" t="inlineStr"/>
      <c r="K40" s="14" t="inlineStr"/>
      <c r="L40" s="14" t="inlineStr"/>
      <c r="M40" s="16" t="inlineStr"/>
      <c r="N40" s="16" t="inlineStr"/>
      <c r="O40" s="17" t="inlineStr">
        <is>
          <t>05 - Access Control SOP</t>
        </is>
      </c>
      <c r="P40" s="12" t="inlineStr">
        <is>
          <t>No</t>
        </is>
      </c>
    </row>
    <row r="41" ht="22" customHeight="1">
      <c r="A41" s="33" t="inlineStr"/>
      <c r="B41" s="31" t="inlineStr">
        <is>
          <t>Periodic Review</t>
        </is>
      </c>
      <c r="C41" s="32" t="inlineStr">
        <is>
          <t>5</t>
        </is>
      </c>
      <c r="D41" s="7" t="inlineStr">
        <is>
          <t>TBD</t>
        </is>
      </c>
      <c r="E41" s="8" t="inlineStr">
        <is>
          <t>Periodic access review log, attestation records</t>
        </is>
      </c>
      <c r="F41" s="7" t="inlineStr"/>
      <c r="G41" s="7" t="inlineStr"/>
      <c r="H41" s="9" t="inlineStr">
        <is>
          <t>Missing</t>
        </is>
      </c>
      <c r="I41" s="7" t="inlineStr"/>
      <c r="J41" s="10" t="inlineStr"/>
      <c r="K41" s="7" t="inlineStr"/>
      <c r="L41" s="7" t="inlineStr"/>
      <c r="M41" s="10" t="inlineStr"/>
      <c r="N41" s="10" t="inlineStr"/>
      <c r="O41" s="11" t="inlineStr">
        <is>
          <t>05 - Access Control SOP</t>
        </is>
      </c>
      <c r="P41" s="12" t="inlineStr">
        <is>
          <t>No</t>
        </is>
      </c>
    </row>
    <row r="42" ht="22" customHeight="1">
      <c r="A42" s="34" t="inlineStr">
        <is>
          <t>Change Management</t>
        </is>
      </c>
      <c r="B42" s="35" t="inlineStr">
        <is>
          <t>Change Request</t>
        </is>
      </c>
      <c r="C42" s="36" t="inlineStr">
        <is>
          <t>1</t>
        </is>
      </c>
      <c r="D42" s="14" t="inlineStr">
        <is>
          <t>TBD</t>
        </is>
      </c>
      <c r="E42" s="15" t="inlineStr">
        <is>
          <t>Jira change ticket raised before logic modification</t>
        </is>
      </c>
      <c r="F42" s="14" t="inlineStr"/>
      <c r="G42" s="14" t="inlineStr"/>
      <c r="H42" s="9" t="inlineStr">
        <is>
          <t>Missing</t>
        </is>
      </c>
      <c r="I42" s="14" t="inlineStr"/>
      <c r="J42" s="16" t="inlineStr"/>
      <c r="K42" s="14" t="inlineStr"/>
      <c r="L42" s="14" t="inlineStr"/>
      <c r="M42" s="16" t="inlineStr"/>
      <c r="N42" s="16" t="inlineStr"/>
      <c r="O42" s="17" t="inlineStr">
        <is>
          <t>06 - Change Management SOP</t>
        </is>
      </c>
      <c r="P42" s="12" t="inlineStr">
        <is>
          <t>No</t>
        </is>
      </c>
    </row>
    <row r="43" ht="22" customHeight="1">
      <c r="A43" s="37" t="inlineStr"/>
      <c r="B43" s="35" t="inlineStr">
        <is>
          <t>Impact Assessment</t>
        </is>
      </c>
      <c r="C43" s="36" t="inlineStr">
        <is>
          <t>2</t>
        </is>
      </c>
      <c r="D43" s="7" t="inlineStr">
        <is>
          <t>TBD</t>
        </is>
      </c>
      <c r="E43" s="8" t="inlineStr">
        <is>
          <t>Impact assessment notes in Jira ticket</t>
        </is>
      </c>
      <c r="F43" s="7" t="inlineStr"/>
      <c r="G43" s="7" t="inlineStr"/>
      <c r="H43" s="9" t="inlineStr">
        <is>
          <t>Missing</t>
        </is>
      </c>
      <c r="I43" s="7" t="inlineStr"/>
      <c r="J43" s="10" t="inlineStr"/>
      <c r="K43" s="7" t="inlineStr"/>
      <c r="L43" s="7" t="inlineStr"/>
      <c r="M43" s="10" t="inlineStr"/>
      <c r="N43" s="10" t="inlineStr"/>
      <c r="O43" s="11" t="inlineStr">
        <is>
          <t>06 - Change Management SOP</t>
        </is>
      </c>
      <c r="P43" s="12" t="inlineStr">
        <is>
          <t>No</t>
        </is>
      </c>
    </row>
    <row r="44" ht="22" customHeight="1">
      <c r="A44" s="37" t="inlineStr"/>
      <c r="B44" s="35" t="inlineStr">
        <is>
          <t>Approval</t>
        </is>
      </c>
      <c r="C44" s="36" t="inlineStr">
        <is>
          <t>3</t>
        </is>
      </c>
      <c r="D44" s="14" t="inlineStr">
        <is>
          <t>TBD</t>
        </is>
      </c>
      <c r="E44" s="15" t="inlineStr">
        <is>
          <t>Approval sign-off on change ticket</t>
        </is>
      </c>
      <c r="F44" s="14" t="inlineStr"/>
      <c r="G44" s="14" t="inlineStr"/>
      <c r="H44" s="9" t="inlineStr">
        <is>
          <t>Missing</t>
        </is>
      </c>
      <c r="I44" s="14" t="inlineStr"/>
      <c r="J44" s="16" t="inlineStr"/>
      <c r="K44" s="14" t="inlineStr"/>
      <c r="L44" s="14" t="inlineStr"/>
      <c r="M44" s="16" t="inlineStr"/>
      <c r="N44" s="16" t="inlineStr"/>
      <c r="O44" s="17" t="inlineStr">
        <is>
          <t>06 - Change Management SOP</t>
        </is>
      </c>
      <c r="P44" s="12" t="inlineStr">
        <is>
          <t>No</t>
        </is>
      </c>
    </row>
    <row r="45" ht="22" customHeight="1">
      <c r="A45" s="37" t="inlineStr"/>
      <c r="B45" s="35" t="inlineStr">
        <is>
          <t>Version Control</t>
        </is>
      </c>
      <c r="C45" s="36" t="inlineStr">
        <is>
          <t>4</t>
        </is>
      </c>
      <c r="D45" s="7" t="inlineStr">
        <is>
          <t>TBD</t>
        </is>
      </c>
      <c r="E45" s="8" t="inlineStr">
        <is>
          <t>Git commit history, PR / merge record</t>
        </is>
      </c>
      <c r="F45" s="7" t="inlineStr"/>
      <c r="G45" s="7" t="inlineStr"/>
      <c r="H45" s="9" t="inlineStr">
        <is>
          <t>Missing</t>
        </is>
      </c>
      <c r="I45" s="7" t="inlineStr"/>
      <c r="J45" s="10" t="inlineStr"/>
      <c r="K45" s="7" t="inlineStr"/>
      <c r="L45" s="7" t="inlineStr"/>
      <c r="M45" s="10" t="inlineStr"/>
      <c r="N45" s="10" t="inlineStr"/>
      <c r="O45" s="11" t="inlineStr">
        <is>
          <t>06 - Change Management SOP</t>
        </is>
      </c>
      <c r="P45" s="12" t="inlineStr">
        <is>
          <t>No</t>
        </is>
      </c>
    </row>
    <row r="46" ht="22" customHeight="1">
      <c r="A46" s="37" t="inlineStr"/>
      <c r="B46" s="35" t="inlineStr">
        <is>
          <t>Deployment</t>
        </is>
      </c>
      <c r="C46" s="36" t="inlineStr">
        <is>
          <t>5</t>
        </is>
      </c>
      <c r="D46" s="14" t="inlineStr">
        <is>
          <t>TBD</t>
        </is>
      </c>
      <c r="E46" s="15" t="inlineStr">
        <is>
          <t>Deployment log, release notes</t>
        </is>
      </c>
      <c r="F46" s="14" t="inlineStr"/>
      <c r="G46" s="14" t="inlineStr"/>
      <c r="H46" s="9" t="inlineStr">
        <is>
          <t>Missing</t>
        </is>
      </c>
      <c r="I46" s="14" t="inlineStr"/>
      <c r="J46" s="16" t="inlineStr"/>
      <c r="K46" s="14" t="inlineStr"/>
      <c r="L46" s="14" t="inlineStr"/>
      <c r="M46" s="16" t="inlineStr"/>
      <c r="N46" s="16" t="inlineStr"/>
      <c r="O46" s="17" t="inlineStr">
        <is>
          <t>06 - Change Management SOP</t>
        </is>
      </c>
      <c r="P46" s="12" t="inlineStr">
        <is>
          <t>No</t>
        </is>
      </c>
    </row>
    <row r="47" ht="22" customHeight="1">
      <c r="A47" s="37" t="inlineStr"/>
      <c r="B47" s="35" t="inlineStr">
        <is>
          <t>Scope Change Logging</t>
        </is>
      </c>
      <c r="C47" s="36" t="inlineStr">
        <is>
          <t>6</t>
        </is>
      </c>
      <c r="D47" s="7" t="inlineStr">
        <is>
          <t>Richard Ng</t>
        </is>
      </c>
      <c r="E47" s="8" t="inlineStr">
        <is>
          <t>SOW weekly change log (v1.32), scope change entry</t>
        </is>
      </c>
      <c r="F47" s="7" t="inlineStr"/>
      <c r="G47" s="7" t="inlineStr"/>
      <c r="H47" s="9" t="inlineStr">
        <is>
          <t>Missing</t>
        </is>
      </c>
      <c r="I47" s="7" t="inlineStr"/>
      <c r="J47" s="10" t="inlineStr"/>
      <c r="K47" s="7" t="inlineStr"/>
      <c r="L47" s="7" t="inlineStr"/>
      <c r="M47" s="10" t="inlineStr"/>
      <c r="N47" s="10" t="inlineStr"/>
      <c r="O47" s="11" t="inlineStr">
        <is>
          <t>06 - Change Management SOP</t>
        </is>
      </c>
      <c r="P47" s="12" t="inlineStr">
        <is>
          <t>No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1" type="list">
      <formula1>"Exists,Partial,Missing,N/A"</formula1>
    </dataValidation>
    <dataValidation sqref="M5:M200" showDropDown="0" showInputMessage="0" showErrorMessage="0" allowBlank="1" type="list">
      <formula1>"High,Medium,Low"</formula1>
    </dataValidation>
    <dataValidation sqref="P5:P200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38" t="inlineStr">
        <is>
          <t>Evidence Tracker — Summary Dashboard</t>
        </is>
      </c>
    </row>
    <row r="2" ht="16" customHeight="1">
      <c r="A2" s="2" t="inlineStr">
        <is>
          <t>Counts update automatically as you fill in the Evidence Tracker sheet</t>
        </is>
      </c>
    </row>
    <row r="3" ht="8" customHeight="1"/>
    <row r="4" ht="28" customHeight="1">
      <c r="A4" s="39" t="inlineStr">
        <is>
          <t>Process Area</t>
        </is>
      </c>
      <c r="B4" s="39" t="inlineStr">
        <is>
          <t>Total Steps</t>
        </is>
      </c>
      <c r="C4" s="39" t="inlineStr">
        <is>
          <t>Exists</t>
        </is>
      </c>
      <c r="D4" s="39" t="inlineStr">
        <is>
          <t>Partial</t>
        </is>
      </c>
      <c r="E4" s="39" t="inlineStr">
        <is>
          <t>Missing</t>
        </is>
      </c>
      <c r="F4" s="39" t="inlineStr">
        <is>
          <t>% Complete</t>
        </is>
      </c>
    </row>
    <row r="5" ht="22" customHeight="1">
      <c r="A5" s="40" t="inlineStr">
        <is>
          <t>Delivery Process</t>
        </is>
      </c>
      <c r="B5" s="41" t="n">
        <v>9</v>
      </c>
      <c r="C5" s="42">
        <f>COUNTIF('Evidence Tracker'!H5:H13,"Exists")</f>
        <v/>
      </c>
      <c r="D5" s="43">
        <f>COUNTIF('Evidence Tracker'!H5:H13,"Partial")</f>
        <v/>
      </c>
      <c r="E5" s="44">
        <f>COUNTIF('Evidence Tracker'!H5:H13,"Missing")</f>
        <v/>
      </c>
      <c r="F5" s="45">
        <f>IFERROR((C5+D5/2)/9,0)</f>
        <v/>
      </c>
    </row>
    <row r="6" ht="22" customHeight="1">
      <c r="A6" s="46" t="inlineStr">
        <is>
          <t>Validation &amp; QA</t>
        </is>
      </c>
      <c r="B6" s="47" t="n">
        <v>8</v>
      </c>
      <c r="C6" s="42">
        <f>COUNTIF('Evidence Tracker'!H14:H21,"Exists")</f>
        <v/>
      </c>
      <c r="D6" s="43">
        <f>COUNTIF('Evidence Tracker'!H14:H21,"Partial")</f>
        <v/>
      </c>
      <c r="E6" s="44">
        <f>COUNTIF('Evidence Tracker'!H14:H21,"Missing")</f>
        <v/>
      </c>
      <c r="F6" s="48">
        <f>IFERROR((C6+D6/2)/8,0)</f>
        <v/>
      </c>
    </row>
    <row r="7" ht="22" customHeight="1">
      <c r="A7" s="49" t="inlineStr">
        <is>
          <t>Data Sourcing &amp; Lineage</t>
        </is>
      </c>
      <c r="B7" s="41" t="n">
        <v>7</v>
      </c>
      <c r="C7" s="42">
        <f>COUNTIF('Evidence Tracker'!H22:H28,"Exists")</f>
        <v/>
      </c>
      <c r="D7" s="43">
        <f>COUNTIF('Evidence Tracker'!H22:H28,"Partial")</f>
        <v/>
      </c>
      <c r="E7" s="44">
        <f>COUNTIF('Evidence Tracker'!H22:H28,"Missing")</f>
        <v/>
      </c>
      <c r="F7" s="45">
        <f>IFERROR((C7+D7/2)/7,0)</f>
        <v/>
      </c>
    </row>
    <row r="8" ht="22" customHeight="1">
      <c r="A8" s="50" t="inlineStr">
        <is>
          <t>Governance &amp; Issue Mgmt</t>
        </is>
      </c>
      <c r="B8" s="47" t="n">
        <v>8</v>
      </c>
      <c r="C8" s="42">
        <f>COUNTIF('Evidence Tracker'!H29:H36,"Exists")</f>
        <v/>
      </c>
      <c r="D8" s="43">
        <f>COUNTIF('Evidence Tracker'!H29:H36,"Partial")</f>
        <v/>
      </c>
      <c r="E8" s="44">
        <f>COUNTIF('Evidence Tracker'!H29:H36,"Missing")</f>
        <v/>
      </c>
      <c r="F8" s="48">
        <f>IFERROR((C8+D8/2)/8,0)</f>
        <v/>
      </c>
    </row>
    <row r="9" ht="22" customHeight="1">
      <c r="A9" s="51" t="inlineStr">
        <is>
          <t>Access Control &amp; Security</t>
        </is>
      </c>
      <c r="B9" s="41" t="n">
        <v>5</v>
      </c>
      <c r="C9" s="42">
        <f>COUNTIF('Evidence Tracker'!H37:H41,"Exists")</f>
        <v/>
      </c>
      <c r="D9" s="43">
        <f>COUNTIF('Evidence Tracker'!H37:H41,"Partial")</f>
        <v/>
      </c>
      <c r="E9" s="44">
        <f>COUNTIF('Evidence Tracker'!H37:H41,"Missing")</f>
        <v/>
      </c>
      <c r="F9" s="45">
        <f>IFERROR((C9+D9/2)/5,0)</f>
        <v/>
      </c>
    </row>
    <row r="10" ht="22" customHeight="1">
      <c r="A10" s="52" t="inlineStr">
        <is>
          <t>Change Management</t>
        </is>
      </c>
      <c r="B10" s="47" t="n">
        <v>6</v>
      </c>
      <c r="C10" s="42">
        <f>COUNTIF('Evidence Tracker'!H42:H47,"Exists")</f>
        <v/>
      </c>
      <c r="D10" s="43">
        <f>COUNTIF('Evidence Tracker'!H42:H47,"Partial")</f>
        <v/>
      </c>
      <c r="E10" s="44">
        <f>COUNTIF('Evidence Tracker'!H42:H47,"Missing")</f>
        <v/>
      </c>
      <c r="F10" s="48">
        <f>IFERROR((C10+D10/2)/6,0)</f>
        <v/>
      </c>
    </row>
    <row r="11" ht="24" customHeight="1">
      <c r="A11" s="53" t="inlineStr">
        <is>
          <t>TOTAL</t>
        </is>
      </c>
      <c r="B11" s="53">
        <f>SUM(B5:B10)</f>
        <v/>
      </c>
      <c r="C11" s="53">
        <f>SUM(C5:C10)</f>
        <v/>
      </c>
      <c r="D11" s="53">
        <f>SUM(D5:D10)</f>
        <v/>
      </c>
      <c r="E11" s="53">
        <f>SUM(E5:E10)</f>
        <v/>
      </c>
      <c r="F11" s="54">
        <f>IFERROR(SUM(C5:C10)/(SUM(B5:B10)),0)</f>
        <v/>
      </c>
    </row>
    <row r="13" ht="22" customHeight="1">
      <c r="A13" s="55" t="inlineStr">
        <is>
          <t>KEY PROJECT STATS (FY2025)</t>
        </is>
      </c>
    </row>
    <row r="14" ht="20" customHeight="1">
      <c r="A14" s="56" t="inlineStr">
        <is>
          <t>Total Work Packages</t>
        </is>
      </c>
      <c r="E14" s="57" t="inlineStr">
        <is>
          <t>4</t>
        </is>
      </c>
    </row>
    <row r="15" ht="20" customHeight="1">
      <c r="A15" s="58" t="inlineStr">
        <is>
          <t>Total Metric Definitions</t>
        </is>
      </c>
      <c r="E15" s="59" t="inlineStr">
        <is>
          <t>86</t>
        </is>
      </c>
    </row>
    <row r="16" ht="20" customHeight="1">
      <c r="A16" s="56" t="inlineStr">
        <is>
          <t>Total Assessable Units (AUs)</t>
        </is>
      </c>
      <c r="E16" s="57" t="inlineStr">
        <is>
          <t>35</t>
        </is>
      </c>
    </row>
    <row r="17" ht="20" customHeight="1">
      <c r="A17" s="58" t="inlineStr">
        <is>
          <t>Total Metric Instances</t>
        </is>
      </c>
      <c r="E17" s="59" t="inlineStr">
        <is>
          <t>2,240</t>
        </is>
      </c>
    </row>
    <row r="18" ht="20" customHeight="1">
      <c r="A18" s="56" t="inlineStr">
        <is>
          <t>Jira — BUILD COMPLETE</t>
        </is>
      </c>
      <c r="E18" s="57" t="inlineStr">
        <is>
          <t>754</t>
        </is>
      </c>
    </row>
    <row r="19" ht="20" customHeight="1">
      <c r="A19" s="58" t="inlineStr">
        <is>
          <t>Jira — BLOCKED (active)</t>
        </is>
      </c>
      <c r="E19" s="59" t="inlineStr">
        <is>
          <t>49</t>
        </is>
      </c>
    </row>
    <row r="20" ht="20" customHeight="1">
      <c r="A20" s="56" t="inlineStr">
        <is>
          <t>RAID Log Items</t>
        </is>
      </c>
      <c r="E20" s="57" t="inlineStr">
        <is>
          <t>137</t>
        </is>
      </c>
    </row>
    <row r="21" ht="20" customHeight="1">
      <c r="A21" s="58" t="inlineStr">
        <is>
          <t>Rahona Data Sources</t>
        </is>
      </c>
      <c r="E21" s="59" t="inlineStr">
        <is>
          <t>20</t>
        </is>
      </c>
    </row>
    <row r="22" ht="20" customHeight="1">
      <c r="A22" s="56" t="inlineStr">
        <is>
          <t>ADIDO Data Sources</t>
        </is>
      </c>
      <c r="E22" s="57" t="inlineStr">
        <is>
          <t>73</t>
        </is>
      </c>
    </row>
  </sheetData>
  <mergeCells count="22">
    <mergeCell ref="A17:D17"/>
    <mergeCell ref="A22:D22"/>
    <mergeCell ref="A20:D20"/>
    <mergeCell ref="E14:F14"/>
    <mergeCell ref="A19:D19"/>
    <mergeCell ref="E17:F17"/>
    <mergeCell ref="A2:F2"/>
    <mergeCell ref="E20:F20"/>
    <mergeCell ref="E19:F19"/>
    <mergeCell ref="A15:D15"/>
    <mergeCell ref="A11"/>
    <mergeCell ref="A13:F13"/>
    <mergeCell ref="E15:F15"/>
    <mergeCell ref="A16:D16"/>
    <mergeCell ref="A18:D18"/>
    <mergeCell ref="E16:F16"/>
    <mergeCell ref="E21:F21"/>
    <mergeCell ref="A1:F1"/>
    <mergeCell ref="A21:D21"/>
    <mergeCell ref="E22:F22"/>
    <mergeCell ref="E18:F1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8" customHeight="1">
      <c r="A1" s="38" t="inlineStr">
        <is>
          <t>HOW TO USE THIS EVIDENCE TRACKER</t>
        </is>
      </c>
    </row>
    <row r="2" ht="60" customHeight="1">
      <c r="A2" s="60" t="inlineStr">
        <is>
          <t>PURPOSE</t>
        </is>
      </c>
      <c r="B2" s="61" t="inlineStr">
        <is>
          <t>This tracker maps every process step to its required evidence artifact. Use it to identify gaps, track progress, and demonstrate audit readiness.</t>
        </is>
      </c>
    </row>
    <row r="3" ht="60" customHeight="1">
      <c r="A3" s="60" t="inlineStr">
        <is>
          <t>STATUS COLUMN (H)</t>
        </is>
      </c>
      <c r="B3" s="62" t="inlineStr">
        <is>
          <t>Select from: Exists / Partial / Missing / N/A
• Exists = artifact is complete and located
• Partial = artifact exists but is incomplete
• Missing = artifact not yet produced
• N/A = step not applicable to this cycle</t>
        </is>
      </c>
    </row>
    <row r="4" ht="60" customHeight="1">
      <c r="A4" s="60" t="inlineStr">
        <is>
          <t>ARTIFACT NAME (F)</t>
        </is>
      </c>
      <c r="B4" s="61" t="inlineStr">
        <is>
          <t>Enter the actual filename of the evidence (e.g., 'Reconciliation_Report_WP01_Apr2026.xlsx')</t>
        </is>
      </c>
    </row>
    <row r="5" ht="60" customHeight="1">
      <c r="A5" s="60" t="inlineStr">
        <is>
          <t>LOCATION (G)</t>
        </is>
      </c>
      <c r="B5" s="62" t="inlineStr">
        <is>
          <t>Paste the full SharePoint URL or Jira ticket ID where the evidence lives</t>
        </is>
      </c>
    </row>
    <row r="6" ht="60" customHeight="1">
      <c r="A6" s="60" t="inlineStr">
        <is>
          <t>JIRA TICKETS (I)</t>
        </is>
      </c>
      <c r="B6" s="61" t="inlineStr">
        <is>
          <t>Enter comma-separated Jira ticket IDs that serve as evidence for this step (e.g., FY25DATA-359, FY25DATA-401)</t>
        </is>
      </c>
    </row>
    <row r="7" ht="60" customHeight="1">
      <c r="A7" s="60" t="inlineStr">
        <is>
          <t>PRIORITY (M)</t>
        </is>
      </c>
      <c r="B7" s="62" t="inlineStr">
        <is>
          <t>High = must exist for audit / Medium = important but not blocking / Low = nice to have</t>
        </is>
      </c>
    </row>
    <row r="8" ht="60" customHeight="1">
      <c r="A8" s="60" t="inlineStr">
        <is>
          <t>AUDIT READY (P)</t>
        </is>
      </c>
      <c r="B8" s="61" t="inlineStr">
        <is>
          <t>Yes = evidence is complete, located, and verified
In Progress = being worked on
No = not started</t>
        </is>
      </c>
    </row>
    <row r="9" ht="60" customHeight="1">
      <c r="A9" s="60" t="inlineStr">
        <is>
          <t>SUMMARY DASHBOARD</t>
        </is>
      </c>
      <c r="B9" s="62" t="inlineStr">
        <is>
          <t>The Summary Dashboard sheet auto-calculates completion % by process area as you update the Status column.</t>
        </is>
      </c>
    </row>
    <row r="10" ht="60" customHeight="1">
      <c r="A10" s="60" t="inlineStr">
        <is>
          <t>SHAREPOINT STRUCTURE</t>
        </is>
      </c>
      <c r="B10" s="61" t="inlineStr">
        <is>
          <t>00 - Audit Navigation
01 - Delivery Process
02 - Validation &amp; QA
03 - Data Sourcing &amp; Lineage
04 - Governance &amp; Issue Mgmt
05 - Access Control &amp; Security
06 - Change Management
07 - Process Flow Diagrams
08 - Archive</t>
        </is>
      </c>
    </row>
    <row r="11" ht="60" customHeight="1">
      <c r="A11" s="60" t="inlineStr">
        <is>
          <t>OWNER</t>
        </is>
      </c>
      <c r="B11" s="62" t="inlineStr">
        <is>
          <t>FCRM Enterprise Risk Assessment Reporting Team | April 2026 | Internal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2026-04-16T20:55:57Z</dcterms:created>
  <dcterms:modified xmlns:dcterms="http://purl.org/dc/terms/" xmlns:xsi="http://www.w3.org/2001/XMLSchema-instance" xsi:type="dcterms:W3CDTF">2026-04-16T20:55:57Z</dcterms:modified>
</cp:coreProperties>
</file>