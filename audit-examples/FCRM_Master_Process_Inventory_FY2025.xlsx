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Inventory" sheetId="1" state="visible" r:id="rId1"/>
    <sheet xmlns:r="http://schemas.openxmlformats.org/officeDocument/2006/relationships" name="Evidence Tracker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Resourcing Te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8"/>
    </font>
    <font>
      <name val="Arial"/>
      <b val="1"/>
      <color rgb="00FFFFFF"/>
      <sz val="9"/>
    </font>
    <font>
      <name val="Arial"/>
      <b val="1"/>
      <color rgb="001565C0"/>
      <sz val="9"/>
    </font>
    <font>
      <name val="Arial"/>
      <i val="1"/>
      <color rgb="00555555"/>
      <sz val="8"/>
    </font>
    <font>
      <name val="Arial"/>
      <b val="1"/>
      <color rgb="001A1A1A"/>
      <sz val="9"/>
    </font>
    <font>
      <name val="Arial"/>
      <i val="1"/>
      <color rgb="00444444"/>
      <sz val="8"/>
    </font>
    <font>
      <name val="Arial"/>
      <color rgb="001A1A1A"/>
      <sz val="8"/>
    </font>
    <font>
      <name val="Arial"/>
      <color rgb="001B5E20"/>
      <sz val="8"/>
    </font>
    <font>
      <name val="Arial"/>
      <b val="1"/>
      <color rgb="00C62828"/>
      <sz val="9"/>
    </font>
    <font>
      <name val="Arial"/>
      <b val="1"/>
      <color rgb="001565C0"/>
      <sz val="8"/>
    </font>
    <font>
      <name val="Arial"/>
      <color rgb="00555555"/>
      <sz val="8"/>
    </font>
    <font>
      <name val="Arial"/>
      <b val="1"/>
      <color rgb="00555555"/>
      <sz val="9"/>
    </font>
    <font>
      <name val="Arial"/>
      <b val="1"/>
      <color rgb="001B5E20"/>
      <sz val="9"/>
    </font>
    <font>
      <name val="Arial"/>
      <b val="1"/>
      <color rgb="0000695C"/>
      <sz val="9"/>
    </font>
    <font>
      <name val="Arial"/>
      <b val="1"/>
      <color rgb="004A148C"/>
      <sz val="9"/>
    </font>
    <font>
      <name val="Arial"/>
      <b val="1"/>
      <color rgb="00E65100"/>
      <sz val="9"/>
    </font>
    <font>
      <name val="Arial"/>
      <b val="1"/>
      <color rgb="00880E4F"/>
      <sz val="9"/>
    </font>
    <font>
      <name val="Arial"/>
      <color rgb="001A1A1A"/>
      <sz val="9"/>
    </font>
    <font>
      <name val="Arial"/>
      <b val="1"/>
      <color rgb="00FFFFFF"/>
      <sz val="13"/>
    </font>
    <font>
      <name val="Arial"/>
      <color rgb="002E7D32"/>
      <sz val="9"/>
    </font>
    <font>
      <name val="Arial"/>
      <color rgb="00F57F17"/>
      <sz val="9"/>
    </font>
    <font>
      <name val="Arial"/>
      <color rgb="00C62828"/>
      <sz val="9"/>
    </font>
    <font>
      <name val="Arial"/>
      <b val="1"/>
      <color rgb="00FFFFFF"/>
      <sz val="10"/>
    </font>
    <font>
      <name val="Arial"/>
      <b val="1"/>
      <color rgb="001B5E20"/>
      <sz val="10"/>
    </font>
    <font>
      <name val="Arial"/>
      <i val="1"/>
      <color rgb="00C62828"/>
      <sz val="8"/>
    </font>
  </fonts>
  <fills count="17">
    <fill>
      <patternFill/>
    </fill>
    <fill>
      <patternFill patternType="gray125"/>
    </fill>
    <fill>
      <patternFill patternType="solid">
        <fgColor rgb="000D2B25"/>
      </patternFill>
    </fill>
    <fill>
      <patternFill patternType="solid">
        <fgColor rgb="001A3C34"/>
      </patternFill>
    </fill>
    <fill>
      <patternFill patternType="solid">
        <fgColor rgb="00E3F2FD"/>
      </patternFill>
    </fill>
    <fill>
      <patternFill patternType="solid">
        <fgColor rgb="00F0F7F4"/>
      </patternFill>
    </fill>
    <fill>
      <patternFill patternType="solid">
        <fgColor rgb="00FFCDD2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3E5F5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0C4C0"/>
      </left>
      <right style="thin">
        <color rgb="00B0C4C0"/>
      </right>
      <top style="thin">
        <color rgb="00B0C4C0"/>
      </top>
      <bottom style="thin">
        <color rgb="00B0C4C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22" fillId="1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9" fontId="6" fillId="5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9" fontId="6" fillId="8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left" vertical="center"/>
    </xf>
    <xf numFmtId="0" fontId="24" fillId="14" borderId="1" applyAlignment="1" pivotButton="0" quotePrefix="0" xfId="0">
      <alignment horizontal="center" vertical="center" wrapText="1"/>
    </xf>
    <xf numFmtId="9" fontId="24" fillId="14" borderId="1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/>
    </xf>
    <xf numFmtId="0" fontId="25" fillId="5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left" vertical="center" wrapText="1"/>
    </xf>
    <xf numFmtId="0" fontId="2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6" customWidth="1" min="3" max="3"/>
    <col width="20" customWidth="1" min="4" max="4"/>
    <col width="11" customWidth="1" min="5" max="5"/>
    <col width="26" customWidth="1" min="6" max="6"/>
    <col width="38" customWidth="1" min="7" max="7"/>
    <col width="26" customWidth="1" min="8" max="8"/>
    <col width="10" customWidth="1" min="9" max="9"/>
    <col width="14" customWidth="1" min="10" max="10"/>
    <col width="20" customWidth="1" min="11" max="11"/>
    <col width="16" customWidth="1" min="12" max="12"/>
    <col width="20" customWidth="1" min="13" max="13"/>
    <col width="22" customWidth="1" min="14" max="14"/>
  </cols>
  <sheetData>
    <row r="1" ht="30" customHeight="1">
      <c r="A1" s="1" t="inlineStr">
        <is>
          <t>FCRM Risk Assessment FY2025 — Process Inventory</t>
        </is>
      </c>
    </row>
    <row r="2" ht="16" customHeight="1">
      <c r="A2" s="2" t="inlineStr">
        <is>
          <t>Complete process detail: inputs, actions, outputs, approvals, Jira states, tools, and SOP references  |  Internal  |  April 2026</t>
        </is>
      </c>
    </row>
    <row r="3" ht="6" customHeight="1"/>
    <row r="4" ht="40" customHeight="1">
      <c r="A4" s="3" t="inlineStr">
        <is>
          <t>Process</t>
        </is>
      </c>
      <c r="B4" s="3" t="inlineStr">
        <is>
          <t>Sub-Process / Control Area</t>
        </is>
      </c>
      <c r="C4" s="3" t="inlineStr">
        <is>
          <t>Step #</t>
        </is>
      </c>
      <c r="D4" s="3" t="inlineStr">
        <is>
          <t>Step Name</t>
        </is>
      </c>
      <c r="E4" s="3" t="inlineStr">
        <is>
          <t>Owner</t>
        </is>
      </c>
      <c r="F4" s="3" t="inlineStr">
        <is>
          <t>Inputs</t>
        </is>
      </c>
      <c r="G4" s="3" t="inlineStr">
        <is>
          <t>Actions / Description</t>
        </is>
      </c>
      <c r="H4" s="3" t="inlineStr">
        <is>
          <t>Outputs / Deliverables</t>
        </is>
      </c>
      <c r="I4" s="3" t="inlineStr">
        <is>
          <t>Approval
Required?</t>
        </is>
      </c>
      <c r="J4" s="3" t="inlineStr">
        <is>
          <t>Approver</t>
        </is>
      </c>
      <c r="K4" s="3" t="inlineStr">
        <is>
          <t>Jira Workflow State</t>
        </is>
      </c>
      <c r="L4" s="3" t="inlineStr">
        <is>
          <t>Tool / System</t>
        </is>
      </c>
      <c r="M4" s="3" t="inlineStr">
        <is>
          <t>SOP Reference</t>
        </is>
      </c>
      <c r="N4" s="3" t="inlineStr">
        <is>
          <t>Notes</t>
        </is>
      </c>
    </row>
    <row r="5" ht="52" customHeight="1">
      <c r="A5" s="4" t="inlineStr">
        <is>
          <t>Delivery Process</t>
        </is>
      </c>
      <c r="B5" s="5" t="inlineStr">
        <is>
          <t>Requirement Definition; Data Acquisition; Logic Dev; Change Mgmt; Deployment; Delivery; BAU</t>
        </is>
      </c>
      <c r="C5" s="6" t="inlineStr">
        <is>
          <t>0</t>
        </is>
      </c>
      <c r="D5" s="7" t="inlineStr">
        <is>
          <t>Intake Request</t>
        </is>
      </c>
      <c r="E5" s="8" t="inlineStr">
        <is>
          <t>Amandeep</t>
        </is>
      </c>
      <c r="F5" s="9" t="inlineStr">
        <is>
          <t>Business requirements, CDE list, AU scope</t>
        </is>
      </c>
      <c r="G5" s="10" t="inlineStr">
        <is>
          <t>Raise intake request with purpose, AUs in scope, expected output and timelines. Identify Critical Data Elements (ERA/FCRM/Business). Perform initial review (1a/1b/Bas). IR review and challenge with core business.</t>
        </is>
      </c>
      <c r="H5" s="11" t="inlineStr">
        <is>
          <t>Jira intake ticket, CDE list, initial review record</t>
        </is>
      </c>
      <c r="I5" s="12" t="inlineStr">
        <is>
          <t>Yes</t>
        </is>
      </c>
      <c r="J5" s="10" t="inlineStr">
        <is>
          <t>Team Lead / Business</t>
        </is>
      </c>
      <c r="K5" s="13" t="inlineStr">
        <is>
          <t>BUSINESS LOGIC DESIGN DEF</t>
        </is>
      </c>
      <c r="L5" s="14" t="inlineStr">
        <is>
          <t>Jira</t>
        </is>
      </c>
      <c r="M5" s="15" t="inlineStr">
        <is>
          <t>Delivery Process SOP v1.2</t>
        </is>
      </c>
      <c r="N5" s="10" t="inlineStr"/>
    </row>
    <row r="6" ht="52" customHeight="1">
      <c r="A6" s="4" t="inlineStr"/>
      <c r="B6" s="5" t="inlineStr"/>
      <c r="C6" s="6" t="inlineStr">
        <is>
          <t>1</t>
        </is>
      </c>
      <c r="D6" s="16" t="inlineStr">
        <is>
          <t>Scope / Requirement Definition</t>
        </is>
      </c>
      <c r="E6" s="17" t="inlineStr">
        <is>
          <t>Amandeep</t>
        </is>
      </c>
      <c r="F6" s="18" t="inlineStr">
        <is>
          <t>Intake ticket, SOW, AU list</t>
        </is>
      </c>
      <c r="G6" s="19" t="inlineStr">
        <is>
          <t>Identify and capture Critical Data Elements required to close RA cycle for FY2025. Define scope boundaries. Business logic and queries approved by First Line.</t>
        </is>
      </c>
      <c r="H6" s="20" t="inlineStr">
        <is>
          <t>Scope &amp; Requirements Document, SOW reference</t>
        </is>
      </c>
      <c r="I6" s="12" t="inlineStr">
        <is>
          <t>Yes</t>
        </is>
      </c>
      <c r="J6" s="19" t="inlineStr">
        <is>
          <t>AVP+</t>
        </is>
      </c>
      <c r="K6" s="13" t="inlineStr">
        <is>
          <t>BUSINESS LOGIC DESIGN DEF</t>
        </is>
      </c>
      <c r="L6" s="21" t="inlineStr">
        <is>
          <t>SharePoint</t>
        </is>
      </c>
      <c r="M6" s="22" t="inlineStr">
        <is>
          <t>Delivery Process SOP v1.2</t>
        </is>
      </c>
      <c r="N6" s="19" t="inlineStr"/>
    </row>
    <row r="7" ht="52" customHeight="1">
      <c r="A7" s="4" t="inlineStr"/>
      <c r="B7" s="5" t="inlineStr"/>
      <c r="C7" s="6" t="inlineStr">
        <is>
          <t>2</t>
        </is>
      </c>
      <c r="D7" s="7" t="inlineStr">
        <is>
          <t>Data Acquisition</t>
        </is>
      </c>
      <c r="E7" s="8" t="inlineStr">
        <is>
          <t>Amandeep</t>
        </is>
      </c>
      <c r="F7" s="9" t="inlineStr">
        <is>
          <t>Approved scope, Rahona/ADIDO access, PIA approvals</t>
        </is>
      </c>
      <c r="G7" s="10" t="inlineStr">
        <is>
          <t>Source data from Rahona (20 sources) and ADIDO (73 sources). Load to Canada Analytical Zone (CA AZ). Validate data integrity and completeness post-extraction.</t>
        </is>
      </c>
      <c r="H7" s="11" t="inlineStr">
        <is>
          <t>Extracted dataset files (.csv/.parquet) in CA AZ, extraction scripts, extraction validation report</t>
        </is>
      </c>
      <c r="I7" s="23" t="inlineStr">
        <is>
          <t>No</t>
        </is>
      </c>
      <c r="J7" s="10" t="inlineStr"/>
      <c r="K7" s="13" t="inlineStr">
        <is>
          <t>DATA SOURCE(S) IDENTIFIED → DATA PROVISIONED IN AZ</t>
        </is>
      </c>
      <c r="L7" s="14" t="inlineStr">
        <is>
          <t>Rahona / ADIDO / CA AZ</t>
        </is>
      </c>
      <c r="M7" s="15" t="inlineStr">
        <is>
          <t>Delivery Process SOP v1.2</t>
        </is>
      </c>
      <c r="N7" s="10" t="inlineStr"/>
    </row>
    <row r="8" ht="52" customHeight="1">
      <c r="A8" s="4" t="inlineStr"/>
      <c r="B8" s="5" t="inlineStr"/>
      <c r="C8" s="6" t="inlineStr">
        <is>
          <t>3</t>
        </is>
      </c>
      <c r="D8" s="16" t="inlineStr">
        <is>
          <t>Logic Development (Build)</t>
        </is>
      </c>
      <c r="E8" s="17" t="inlineStr">
        <is>
          <t>Karthik</t>
        </is>
      </c>
      <c r="F8" s="18" t="inlineStr">
        <is>
          <t>Extracted datasets in CA AZ, metric definitions, business logic approved by 1LOD</t>
        </is>
      </c>
      <c r="G8" s="19" t="inlineStr">
        <is>
          <t>Write Python-SQL queries, joins, filters, aggregations. Define and generate output. Document logic and transformations.</t>
        </is>
      </c>
      <c r="H8" s="20" t="inlineStr">
        <is>
          <t>Python-SQL code in Git, Jira ticket in BUILD IN PROGRESS, transformation logic documentation</t>
        </is>
      </c>
      <c r="I8" s="24" t="inlineStr">
        <is>
          <t>No</t>
        </is>
      </c>
      <c r="J8" s="19" t="inlineStr"/>
      <c r="K8" s="13" t="inlineStr">
        <is>
          <t>BUILD IN PROGRESS (PART) → BUILD IN PROGRESS (FULL)</t>
        </is>
      </c>
      <c r="L8" s="21" t="inlineStr">
        <is>
          <t>GitHub / CA AZ</t>
        </is>
      </c>
      <c r="M8" s="22" t="inlineStr">
        <is>
          <t>Delivery Process SOP v1.2</t>
        </is>
      </c>
      <c r="N8" s="19" t="inlineStr"/>
    </row>
    <row r="9" ht="52" customHeight="1">
      <c r="A9" s="4" t="inlineStr"/>
      <c r="B9" s="5" t="inlineStr"/>
      <c r="C9" s="6" t="inlineStr">
        <is>
          <t>4</t>
        </is>
      </c>
      <c r="D9" s="7" t="inlineStr">
        <is>
          <t>Technical Specifications (Build)</t>
        </is>
      </c>
      <c r="E9" s="8" t="inlineStr">
        <is>
          <t>Karthik</t>
        </is>
      </c>
      <c r="F9" s="9" t="inlineStr">
        <is>
          <t>Build code, metric definitions, lineage requirements</t>
        </is>
      </c>
      <c r="G9" s="10" t="inlineStr">
        <is>
          <t>Document technical specifications including transformation logic, field-level mapping, data lineage from source to output.</t>
        </is>
      </c>
      <c r="H9" s="11" t="inlineStr">
        <is>
          <t>Tech spec document, source-to-report mapping, field-level lineage</t>
        </is>
      </c>
      <c r="I9" s="23" t="inlineStr">
        <is>
          <t>No</t>
        </is>
      </c>
      <c r="J9" s="10" t="inlineStr"/>
      <c r="K9" s="13" t="inlineStr">
        <is>
          <t>BUILD IN PROGRESS (FULL)</t>
        </is>
      </c>
      <c r="L9" s="14" t="inlineStr">
        <is>
          <t>SharePoint / GitHub</t>
        </is>
      </c>
      <c r="M9" s="15" t="inlineStr">
        <is>
          <t>Delivery Process SOP v1.2</t>
        </is>
      </c>
      <c r="N9" s="10" t="inlineStr"/>
    </row>
    <row r="10" ht="52" customHeight="1">
      <c r="A10" s="4" t="inlineStr"/>
      <c r="B10" s="5" t="inlineStr"/>
      <c r="C10" s="6" t="inlineStr">
        <is>
          <t>5</t>
        </is>
      </c>
      <c r="D10" s="16" t="inlineStr">
        <is>
          <t>Output Validation</t>
        </is>
      </c>
      <c r="E10" s="17" t="inlineStr">
        <is>
          <t>Karthik</t>
        </is>
      </c>
      <c r="F10" s="18" t="inlineStr">
        <is>
          <t>Build outputs, expected metric values, validation criteria</t>
        </is>
      </c>
      <c r="G10" s="19" t="inlineStr">
        <is>
          <t>Validate output against expected results. Cross-check with source data. Verify format and structure meet regulatory requirements.</t>
        </is>
      </c>
      <c r="H10" s="20" t="inlineStr">
        <is>
          <t>Output validation report, reconciliation results</t>
        </is>
      </c>
      <c r="I10" s="24" t="inlineStr">
        <is>
          <t>No</t>
        </is>
      </c>
      <c r="J10" s="19" t="inlineStr"/>
      <c r="K10" s="13" t="inlineStr">
        <is>
          <t>BUILD COMPLETE</t>
        </is>
      </c>
      <c r="L10" s="21" t="inlineStr">
        <is>
          <t>SharePoint</t>
        </is>
      </c>
      <c r="M10" s="22" t="inlineStr">
        <is>
          <t>QA &amp; Governance SOP v2.1</t>
        </is>
      </c>
      <c r="N10" s="19" t="inlineStr"/>
    </row>
    <row r="11" ht="52" customHeight="1">
      <c r="A11" s="4" t="inlineStr"/>
      <c r="B11" s="5" t="inlineStr"/>
      <c r="C11" s="6" t="inlineStr">
        <is>
          <t>6</t>
        </is>
      </c>
      <c r="D11" s="7" t="inlineStr">
        <is>
          <t>Approval</t>
        </is>
      </c>
      <c r="E11" s="8" t="inlineStr">
        <is>
          <t>Karthik</t>
        </is>
      </c>
      <c r="F11" s="9" t="inlineStr">
        <is>
          <t>Validated outputs, completed validation checklist</t>
        </is>
      </c>
      <c r="G11" s="10" t="inlineStr">
        <is>
          <t>Obtain PO Concurrence. Transition Jira to PO APPROVED. Reviewers must be independent of preparer. Approver must be AVP or higher.</t>
        </is>
      </c>
      <c r="H11" s="11" t="inlineStr">
        <is>
          <t>Jira ticket in PO APPROVED state, approval record</t>
        </is>
      </c>
      <c r="I11" s="12" t="inlineStr">
        <is>
          <t>Yes</t>
        </is>
      </c>
      <c r="J11" s="10" t="inlineStr">
        <is>
          <t>AVP+</t>
        </is>
      </c>
      <c r="K11" s="13" t="inlineStr">
        <is>
          <t>PO CONCURRENCE → PO APPROVED</t>
        </is>
      </c>
      <c r="L11" s="14" t="inlineStr">
        <is>
          <t>Jira</t>
        </is>
      </c>
      <c r="M11" s="15" t="inlineStr">
        <is>
          <t>Approvals Document v1.1</t>
        </is>
      </c>
      <c r="N11" s="10" t="inlineStr"/>
    </row>
    <row r="12" ht="52" customHeight="1">
      <c r="A12" s="4" t="inlineStr"/>
      <c r="B12" s="5" t="inlineStr"/>
      <c r="C12" s="6" t="inlineStr">
        <is>
          <t>7</t>
        </is>
      </c>
      <c r="D12" s="16" t="inlineStr">
        <is>
          <t>Deployment</t>
        </is>
      </c>
      <c r="E12" s="17" t="inlineStr">
        <is>
          <t>Karthik</t>
        </is>
      </c>
      <c r="F12" s="18" t="inlineStr">
        <is>
          <t>Approved outputs, deployment checklist</t>
        </is>
      </c>
      <c r="G12" s="19" t="inlineStr">
        <is>
          <t>Deploy metric outputs to production. Record deployment details. Confirm successful release.</t>
        </is>
      </c>
      <c r="H12" s="20" t="inlineStr">
        <is>
          <t>Deployment log, release record</t>
        </is>
      </c>
      <c r="I12" s="12" t="inlineStr">
        <is>
          <t>Yes</t>
        </is>
      </c>
      <c r="J12" s="19" t="inlineStr">
        <is>
          <t>Team Lead</t>
        </is>
      </c>
      <c r="K12" s="13" t="inlineStr">
        <is>
          <t>PO APPROVED</t>
        </is>
      </c>
      <c r="L12" s="21" t="inlineStr">
        <is>
          <t>Jira / SharePoint</t>
        </is>
      </c>
      <c r="M12" s="22" t="inlineStr">
        <is>
          <t>Delivery Process SOP v1.2</t>
        </is>
      </c>
      <c r="N12" s="19" t="inlineStr"/>
    </row>
    <row r="13" ht="52" customHeight="1">
      <c r="A13" s="4" t="inlineStr"/>
      <c r="B13" s="5" t="inlineStr"/>
      <c r="C13" s="6" t="inlineStr">
        <is>
          <t>8</t>
        </is>
      </c>
      <c r="D13" s="7" t="inlineStr">
        <is>
          <t>Delivery / Document Output</t>
        </is>
      </c>
      <c r="E13" s="8" t="inlineStr">
        <is>
          <t>Karthik</t>
        </is>
      </c>
      <c r="F13" s="9" t="inlineStr">
        <is>
          <t>Deployed outputs</t>
        </is>
      </c>
      <c r="G13" s="10" t="inlineStr">
        <is>
          <t>Deliver final metric outputs. Document results. Store in SharePoint. Confirm delivery with stakeholders.</t>
        </is>
      </c>
      <c r="H13" s="11" t="inlineStr">
        <is>
          <t>Final output files, delivery confirmation, output documentation</t>
        </is>
      </c>
      <c r="I13" s="23" t="inlineStr">
        <is>
          <t>No</t>
        </is>
      </c>
      <c r="J13" s="10" t="inlineStr"/>
      <c r="K13" s="13" t="inlineStr">
        <is>
          <t>PO APPROVED</t>
        </is>
      </c>
      <c r="L13" s="14" t="inlineStr">
        <is>
          <t>SharePoint / CA AZ</t>
        </is>
      </c>
      <c r="M13" s="15" t="inlineStr">
        <is>
          <t>Delivery Process SOP v1.2</t>
        </is>
      </c>
      <c r="N13" s="10" t="inlineStr"/>
    </row>
    <row r="14" ht="52" customHeight="1">
      <c r="A14" s="25" t="inlineStr">
        <is>
          <t>Validation &amp; Quality Assurance</t>
        </is>
      </c>
      <c r="B14" s="26" t="inlineStr">
        <is>
          <t>DQ Checks; Reconciliation; Peer Review; Output Verification</t>
        </is>
      </c>
      <c r="C14" s="27" t="inlineStr">
        <is>
          <t>1</t>
        </is>
      </c>
      <c r="D14" s="16" t="inlineStr">
        <is>
          <t>Validation Planning</t>
        </is>
      </c>
      <c r="E14" s="28" t="inlineStr">
        <is>
          <t>Priyanshi</t>
        </is>
      </c>
      <c r="F14" s="18" t="inlineStr">
        <is>
          <t>Scope document, metric definitions, AU list</t>
        </is>
      </c>
      <c r="G14" s="19" t="inlineStr">
        <is>
          <t>Define validation scope (datasets, systems, outputs). Identify key controls and risk areas. Establish timelines and milestones. Assign roles and responsibilities. Document methodology and acceptance criteria.</t>
        </is>
      </c>
      <c r="H14" s="20" t="inlineStr">
        <is>
          <t>Validation Plan Document, Risk Assessment Matrix</t>
        </is>
      </c>
      <c r="I14" s="24" t="inlineStr">
        <is>
          <t>No</t>
        </is>
      </c>
      <c r="J14" s="19" t="inlineStr"/>
      <c r="K14" s="13" t="inlineStr">
        <is>
          <t>BUSINESS LOGIC DESIGN DEF</t>
        </is>
      </c>
      <c r="L14" s="21" t="inlineStr">
        <is>
          <t>SharePoint</t>
        </is>
      </c>
      <c r="M14" s="22" t="inlineStr">
        <is>
          <t>QA &amp; Governance SOP v2.1</t>
        </is>
      </c>
      <c r="N14" s="19" t="inlineStr"/>
    </row>
    <row r="15" ht="52" customHeight="1">
      <c r="A15" s="25" t="inlineStr"/>
      <c r="B15" s="26" t="inlineStr"/>
      <c r="C15" s="27" t="inlineStr">
        <is>
          <t>2</t>
        </is>
      </c>
      <c r="D15" s="7" t="inlineStr">
        <is>
          <t>Data Quality Checks</t>
        </is>
      </c>
      <c r="E15" s="29" t="inlineStr">
        <is>
          <t>Priyanshi</t>
        </is>
      </c>
      <c r="F15" s="9" t="inlineStr">
        <is>
          <t>Extracted datasets in CA AZ</t>
        </is>
      </c>
      <c r="G15" s="10" t="inlineStr">
        <is>
          <t>Completeness: no missing/null critical fields. Accuracy: validate against source systems (95% threshold). Consistency: cross-check values. Uniqueness: identify duplicates. Timeliness: data up-to-date. Methods: automated scripts + manual sampling.</t>
        </is>
      </c>
      <c r="H15" s="11" t="inlineStr">
        <is>
          <t>DQ check results, profiling reports, issue log</t>
        </is>
      </c>
      <c r="I15" s="23" t="inlineStr">
        <is>
          <t>No</t>
        </is>
      </c>
      <c r="J15" s="10" t="inlineStr"/>
      <c r="K15" s="13" t="inlineStr">
        <is>
          <t>DATA PROVISIONED IN AZ</t>
        </is>
      </c>
      <c r="L15" s="14" t="inlineStr">
        <is>
          <t>CA AZ / SharePoint</t>
        </is>
      </c>
      <c r="M15" s="15" t="inlineStr">
        <is>
          <t>QA &amp; Governance SOP v2.1</t>
        </is>
      </c>
      <c r="N15" s="10" t="inlineStr"/>
    </row>
    <row r="16" ht="52" customHeight="1">
      <c r="A16" s="25" t="inlineStr"/>
      <c r="B16" s="26" t="inlineStr"/>
      <c r="C16" s="27" t="inlineStr">
        <is>
          <t>3</t>
        </is>
      </c>
      <c r="D16" s="16" t="inlineStr">
        <is>
          <t>Reconciliation</t>
        </is>
      </c>
      <c r="E16" s="28" t="inlineStr">
        <is>
          <t>Priyanshi</t>
        </is>
      </c>
      <c r="F16" s="18" t="inlineStr">
        <is>
          <t>Source data counts, processed data counts</t>
        </is>
      </c>
      <c r="G16" s="19" t="inlineStr">
        <is>
          <t>Reconcile record counts between source and processed data. Validate key financial metrics. Identify and investigate variances. Document all reconciliation results.</t>
        </is>
      </c>
      <c r="H16" s="20" t="inlineStr">
        <is>
          <t>Reconciliation reports, variance analysis logs</t>
        </is>
      </c>
      <c r="I16" s="24" t="inlineStr">
        <is>
          <t>No</t>
        </is>
      </c>
      <c r="J16" s="19" t="inlineStr"/>
      <c r="K16" s="13" t="inlineStr">
        <is>
          <t>DATA PROVISIONED IN AZ</t>
        </is>
      </c>
      <c r="L16" s="21" t="inlineStr">
        <is>
          <t>SharePoint</t>
        </is>
      </c>
      <c r="M16" s="22" t="inlineStr">
        <is>
          <t>QA &amp; Governance SOP v2.1</t>
        </is>
      </c>
      <c r="N16" s="19" t="inlineStr"/>
    </row>
    <row r="17" ht="52" customHeight="1">
      <c r="A17" s="25" t="inlineStr"/>
      <c r="B17" s="26" t="inlineStr"/>
      <c r="C17" s="27" t="inlineStr">
        <is>
          <t>4</t>
        </is>
      </c>
      <c r="D17" s="7" t="inlineStr">
        <is>
          <t>Reasonability Analysis</t>
        </is>
      </c>
      <c r="E17" s="29" t="inlineStr">
        <is>
          <t>Priyanshi</t>
        </is>
      </c>
      <c r="F17" s="9" t="inlineStr">
        <is>
          <t>Metric outputs, historical data, expected thresholds</t>
        </is>
      </c>
      <c r="G17" s="10" t="inlineStr">
        <is>
          <t>Assess whether AML outputs are logical and within expected thresholds. Trend analysis. Comparison with historical data. Outlier detection. Threshold validation. Check for sudden spikes/drops.</t>
        </is>
      </c>
      <c r="H17" s="11" t="inlineStr">
        <is>
          <t>Trend analysis output, outlier detection log, threshold validation report</t>
        </is>
      </c>
      <c r="I17" s="23" t="inlineStr">
        <is>
          <t>No</t>
        </is>
      </c>
      <c r="J17" s="10" t="inlineStr"/>
      <c r="K17" s="13" t="inlineStr">
        <is>
          <t>BUILD IN PROGRESS (FULL)</t>
        </is>
      </c>
      <c r="L17" s="14" t="inlineStr">
        <is>
          <t>SharePoint</t>
        </is>
      </c>
      <c r="M17" s="15" t="inlineStr">
        <is>
          <t>QA &amp; Governance SOP v2.1</t>
        </is>
      </c>
      <c r="N17" s="10" t="inlineStr"/>
    </row>
    <row r="18" ht="52" customHeight="1">
      <c r="A18" s="25" t="inlineStr"/>
      <c r="B18" s="26" t="inlineStr"/>
      <c r="C18" s="27" t="inlineStr">
        <is>
          <t>5</t>
        </is>
      </c>
      <c r="D18" s="16" t="inlineStr">
        <is>
          <t>Peer Review</t>
        </is>
      </c>
      <c r="E18" s="28" t="inlineStr">
        <is>
          <t>Sujai</t>
        </is>
      </c>
      <c r="F18" s="18" t="inlineStr">
        <is>
          <t>Build outputs, methodology documentation</t>
        </is>
      </c>
      <c r="G18" s="19" t="inlineStr">
        <is>
          <t>Assign reviewer independent of preparer. Review methodology, calculations, and outputs. Validate assumptions and logic. Document review comments and resolutions. Privacy compliance check (PIA BUILD → WITH PRIVACY TEAM → PIA APPROVED).</t>
        </is>
      </c>
      <c r="H18" s="20" t="inlineStr">
        <is>
          <t>Peer review sign-off, review comments log, AU REVIEW APPROVAL Jira state</t>
        </is>
      </c>
      <c r="I18" s="12" t="inlineStr">
        <is>
          <t>Yes</t>
        </is>
      </c>
      <c r="J18" s="19" t="inlineStr">
        <is>
          <t>Independent reviewer (not preparer)</t>
        </is>
      </c>
      <c r="K18" s="13" t="inlineStr">
        <is>
          <t>AU REVIEW APPROVAL</t>
        </is>
      </c>
      <c r="L18" s="21" t="inlineStr">
        <is>
          <t>SharePoint / Jira</t>
        </is>
      </c>
      <c r="M18" s="22" t="inlineStr">
        <is>
          <t>QA &amp; Governance SOP v2.1</t>
        </is>
      </c>
      <c r="N18" s="19" t="inlineStr"/>
    </row>
    <row r="19" ht="52" customHeight="1">
      <c r="A19" s="25" t="inlineStr"/>
      <c r="B19" s="26" t="inlineStr"/>
      <c r="C19" s="27" t="inlineStr">
        <is>
          <t>6</t>
        </is>
      </c>
      <c r="D19" s="7" t="inlineStr">
        <is>
          <t>Output Verification</t>
        </is>
      </c>
      <c r="E19" s="29" t="inlineStr">
        <is>
          <t>Sujai</t>
        </is>
      </c>
      <c r="F19" s="9" t="inlineStr">
        <is>
          <t>Final metric outputs, format requirements</t>
        </is>
      </c>
      <c r="G19" s="10" t="inlineStr">
        <is>
          <t>Verify output format and structure. Validate key fields and calculations. Cross-check with source and intermediate data. Ensure regulatory compliance. Execution gating: cannot proceed until Steps 1–5 cleared.</t>
        </is>
      </c>
      <c r="H19" s="11" t="inlineStr">
        <is>
          <t>Output verification report, format compliance log</t>
        </is>
      </c>
      <c r="I19" s="23" t="inlineStr">
        <is>
          <t>No</t>
        </is>
      </c>
      <c r="J19" s="10" t="inlineStr"/>
      <c r="K19" s="13" t="inlineStr">
        <is>
          <t>BUILD COMPLETE</t>
        </is>
      </c>
      <c r="L19" s="14" t="inlineStr">
        <is>
          <t>SharePoint</t>
        </is>
      </c>
      <c r="M19" s="15" t="inlineStr">
        <is>
          <t>Output Validation Document v1.1</t>
        </is>
      </c>
      <c r="N19" s="10" t="inlineStr"/>
    </row>
    <row r="20" ht="52" customHeight="1">
      <c r="A20" s="25" t="inlineStr"/>
      <c r="B20" s="26" t="inlineStr"/>
      <c r="C20" s="27" t="inlineStr">
        <is>
          <t>7</t>
        </is>
      </c>
      <c r="D20" s="16" t="inlineStr">
        <is>
          <t>Issue Logging</t>
        </is>
      </c>
      <c r="E20" s="28" t="inlineStr">
        <is>
          <t>Sujai</t>
        </is>
      </c>
      <c r="F20" s="18" t="inlineStr">
        <is>
          <t>Identified issues from any prior step</t>
        </is>
      </c>
      <c r="G20" s="19" t="inlineStr">
        <is>
          <t>Log issues in RAID log immediately. Transition Jira to BLOCKED state. Categorize severity (P1=critical data gap, P2=systemic failure). Assign ownership and due dates. Track resolution status. Maintain audit trail.</t>
        </is>
      </c>
      <c r="H20" s="20" t="inlineStr">
        <is>
          <t>RAID log entry, Jira BLOCKED ticket with full issue detail</t>
        </is>
      </c>
      <c r="I20" s="24" t="inlineStr">
        <is>
          <t>No</t>
        </is>
      </c>
      <c r="J20" s="19" t="inlineStr"/>
      <c r="K20" s="13" t="inlineStr">
        <is>
          <t>BLOCKED</t>
        </is>
      </c>
      <c r="L20" s="21" t="inlineStr">
        <is>
          <t>Jira / SharePoint</t>
        </is>
      </c>
      <c r="M20" s="22" t="inlineStr">
        <is>
          <t>QA &amp; Governance SOP v2.1</t>
        </is>
      </c>
      <c r="N20" s="19" t="inlineStr"/>
    </row>
    <row r="21" ht="52" customHeight="1">
      <c r="A21" s="25" t="inlineStr"/>
      <c r="B21" s="26" t="inlineStr"/>
      <c r="C21" s="27" t="inlineStr">
        <is>
          <t>8</t>
        </is>
      </c>
      <c r="D21" s="7" t="inlineStr">
        <is>
          <t>Sign-Off &amp; Approval</t>
        </is>
      </c>
      <c r="E21" s="29" t="inlineStr">
        <is>
          <t>Sujai</t>
        </is>
      </c>
      <c r="F21" s="9" t="inlineStr">
        <is>
          <t>Completed validation checklist, all issues resolved or accepted</t>
        </is>
      </c>
      <c r="G21" s="10" t="inlineStr">
        <is>
          <t>Ensure all validation steps are completed. Confirm all issues resolved or formally risk-accepted. Obtain approvals (AVP+). Reviewer cannot be same as preparer. Transition Jira to PO CONCURRENCE → PO APPROVED.</t>
        </is>
      </c>
      <c r="H21" s="11" t="inlineStr">
        <is>
          <t>Signed approval record, final validation report</t>
        </is>
      </c>
      <c r="I21" s="12" t="inlineStr">
        <is>
          <t>Yes</t>
        </is>
      </c>
      <c r="J21" s="10" t="inlineStr">
        <is>
          <t>AVP+</t>
        </is>
      </c>
      <c r="K21" s="13" t="inlineStr">
        <is>
          <t>PO CONCURRENCE → PO APPROVED</t>
        </is>
      </c>
      <c r="L21" s="14" t="inlineStr">
        <is>
          <t>SharePoint / Jira</t>
        </is>
      </c>
      <c r="M21" s="15" t="inlineStr">
        <is>
          <t>Approvals Document v1.1</t>
        </is>
      </c>
      <c r="N21" s="10" t="inlineStr"/>
    </row>
    <row r="22" ht="52" customHeight="1">
      <c r="A22" s="30" t="inlineStr">
        <is>
          <t>Data Sourcing &amp; Lineage</t>
        </is>
      </c>
      <c r="B22" s="31" t="inlineStr">
        <is>
          <t>Source Identification; Access; Extraction; Lineage; Retention</t>
        </is>
      </c>
      <c r="C22" s="32" t="inlineStr">
        <is>
          <t>1</t>
        </is>
      </c>
      <c r="D22" s="16" t="inlineStr">
        <is>
          <t>Source Identification</t>
        </is>
      </c>
      <c r="E22" s="33" t="inlineStr">
        <is>
          <t>Hua</t>
        </is>
      </c>
      <c r="F22" s="18" t="inlineStr">
        <is>
          <t>Business requirements, metric definitions, SOW</t>
        </is>
      </c>
      <c r="G22" s="19" t="inlineStr">
        <is>
          <t>Review business and regulatory requirements. Create Master_Data_source_FY2025.xlsx to identify all relevant data sources per metric. Collaborate with business stakeholders. Document system names, tables, owners, data attributes.</t>
        </is>
      </c>
      <c r="H22" s="20" t="inlineStr">
        <is>
          <t>Master_Data_source_FY2025.xlsx, source identification log</t>
        </is>
      </c>
      <c r="I22" s="24" t="inlineStr">
        <is>
          <t>No</t>
        </is>
      </c>
      <c r="J22" s="19" t="inlineStr"/>
      <c r="K22" s="13" t="inlineStr">
        <is>
          <t>BUSINESS LOGIC DESIGN DEF</t>
        </is>
      </c>
      <c r="L22" s="21" t="inlineStr">
        <is>
          <t>SharePoint</t>
        </is>
      </c>
      <c r="M22" s="22" t="inlineStr">
        <is>
          <t>Data Sourcing &amp; Lineage v1.0</t>
        </is>
      </c>
      <c r="N22" s="19" t="inlineStr"/>
    </row>
    <row r="23" ht="52" customHeight="1">
      <c r="A23" s="30" t="inlineStr"/>
      <c r="B23" s="31" t="inlineStr"/>
      <c r="C23" s="32" t="inlineStr">
        <is>
          <t>2</t>
        </is>
      </c>
      <c r="D23" s="7" t="inlineStr">
        <is>
          <t>Access Enablement</t>
        </is>
      </c>
      <c r="E23" s="34" t="inlineStr">
        <is>
          <t>Hua</t>
        </is>
      </c>
      <c r="F23" s="9" t="inlineStr">
        <is>
          <t>Identified data sources, organizational PIA guidelines</t>
        </is>
      </c>
      <c r="G23" s="10" t="inlineStr">
        <is>
          <t>Initiate Privacy Impact Assessment (PIA) process for each data source. Submit access requests. Track and follow up on access approvals. Maintain records of all access permissions and compliance checks.</t>
        </is>
      </c>
      <c r="H23" s="11" t="inlineStr">
        <is>
          <t>PIA approval records, access request forms, access approval log</t>
        </is>
      </c>
      <c r="I23" s="12" t="inlineStr">
        <is>
          <t>Yes</t>
        </is>
      </c>
      <c r="J23" s="10" t="inlineStr">
        <is>
          <t>Privacy Team / Data Owner</t>
        </is>
      </c>
      <c r="K23" s="13" t="inlineStr">
        <is>
          <t>DATA SOURCE(S) IDENTIFIED</t>
        </is>
      </c>
      <c r="L23" s="14" t="inlineStr">
        <is>
          <t>SharePoint</t>
        </is>
      </c>
      <c r="M23" s="15" t="inlineStr">
        <is>
          <t>Data Sourcing &amp; Lineage v1.0</t>
        </is>
      </c>
      <c r="N23" s="10" t="inlineStr"/>
    </row>
    <row r="24" ht="52" customHeight="1">
      <c r="A24" s="30" t="inlineStr"/>
      <c r="B24" s="31" t="inlineStr"/>
      <c r="C24" s="32" t="inlineStr">
        <is>
          <t>3</t>
        </is>
      </c>
      <c r="D24" s="16" t="inlineStr">
        <is>
          <t>Data Extraction</t>
        </is>
      </c>
      <c r="E24" s="33" t="inlineStr">
        <is>
          <t>Hua</t>
        </is>
      </c>
      <c r="F24" s="18" t="inlineStr">
        <is>
          <t>Approved access credentials, Master Data Source Sheet</t>
        </is>
      </c>
      <c r="G24" s="19" t="inlineStr">
        <is>
          <t>Use approved credentials to connect to Rahona (20 sources) and ADIDO (73 sources). Extract relevant data fields per requirements. Store in CA AZ. Validate integrity and completeness post-extraction.</t>
        </is>
      </c>
      <c r="H24" s="20" t="inlineStr">
        <is>
          <t>Extracted dataset files (.csv/.parquet), extraction scripts, extraction validation report</t>
        </is>
      </c>
      <c r="I24" s="24" t="inlineStr">
        <is>
          <t>No</t>
        </is>
      </c>
      <c r="J24" s="19" t="inlineStr"/>
      <c r="K24" s="13" t="inlineStr">
        <is>
          <t>DATA PROVISIONED IN AZ</t>
        </is>
      </c>
      <c r="L24" s="21" t="inlineStr">
        <is>
          <t>Rahona / ADIDO / CA AZ</t>
        </is>
      </c>
      <c r="M24" s="22" t="inlineStr">
        <is>
          <t>Data Sourcing &amp; Lineage v1.0</t>
        </is>
      </c>
      <c r="N24" s="19" t="inlineStr"/>
    </row>
    <row r="25" ht="52" customHeight="1">
      <c r="A25" s="30" t="inlineStr"/>
      <c r="B25" s="31" t="inlineStr"/>
      <c r="C25" s="32" t="inlineStr">
        <is>
          <t>4</t>
        </is>
      </c>
      <c r="D25" s="7" t="inlineStr">
        <is>
          <t>Data Understanding</t>
        </is>
      </c>
      <c r="E25" s="34" t="inlineStr">
        <is>
          <t>Subham</t>
        </is>
      </c>
      <c r="F25" s="9" t="inlineStr">
        <is>
          <t>Extracted datasets in CA AZ</t>
        </is>
      </c>
      <c r="G25" s="10" t="inlineStr">
        <is>
          <t>Create database views or data models. Profile datasets for completeness, accuracy, consistency. Document data definitions, data types, key attributes. Identify and address data quality issues.</t>
        </is>
      </c>
      <c r="H25" s="11" t="inlineStr">
        <is>
          <t>Data profiling reports, data dictionary / metadata documentation, data quality assessment report</t>
        </is>
      </c>
      <c r="I25" s="23" t="inlineStr">
        <is>
          <t>No</t>
        </is>
      </c>
      <c r="J25" s="10" t="inlineStr"/>
      <c r="K25" s="13" t="inlineStr">
        <is>
          <t>DATA PROVISIONED IN AZ</t>
        </is>
      </c>
      <c r="L25" s="14" t="inlineStr">
        <is>
          <t>CA AZ / SharePoint</t>
        </is>
      </c>
      <c r="M25" s="15" t="inlineStr">
        <is>
          <t>Data Sourcing &amp; Lineage v1.0</t>
        </is>
      </c>
      <c r="N25" s="10" t="inlineStr"/>
    </row>
    <row r="26" ht="52" customHeight="1">
      <c r="A26" s="30" t="inlineStr"/>
      <c r="B26" s="31" t="inlineStr"/>
      <c r="C26" s="32" t="inlineStr">
        <is>
          <t>5</t>
        </is>
      </c>
      <c r="D26" s="16" t="inlineStr">
        <is>
          <t>Lineage Documentation</t>
        </is>
      </c>
      <c r="E26" s="33" t="inlineStr">
        <is>
          <t>Subham</t>
        </is>
      </c>
      <c r="F26" s="18" t="inlineStr">
        <is>
          <t>Extraction scripts, transformation logic, metric definitions</t>
        </is>
      </c>
      <c r="G26" s="19" t="inlineStr">
        <is>
          <t>Build queries producing result values for each metric. Map complete data journey from extraction to reporting including all transformations and business logic applied. Maintain lineage diagrams. Ensure accessible for audit.</t>
        </is>
      </c>
      <c r="H26" s="20" t="inlineStr">
        <is>
          <t>Data lineage diagrams, transformation logic documentation, lineage register</t>
        </is>
      </c>
      <c r="I26" s="24" t="inlineStr">
        <is>
          <t>No</t>
        </is>
      </c>
      <c r="J26" s="19" t="inlineStr"/>
      <c r="K26" s="13" t="inlineStr">
        <is>
          <t>BUILD IN PROGRESS (FULL)</t>
        </is>
      </c>
      <c r="L26" s="21" t="inlineStr">
        <is>
          <t>SharePoint / GitHub</t>
        </is>
      </c>
      <c r="M26" s="22" t="inlineStr">
        <is>
          <t>Data Sourcing &amp; Lineage v1.0</t>
        </is>
      </c>
      <c r="N26" s="19" t="inlineStr"/>
    </row>
    <row r="27" ht="52" customHeight="1">
      <c r="A27" s="30" t="inlineStr"/>
      <c r="B27" s="31" t="inlineStr"/>
      <c r="C27" s="32" t="inlineStr">
        <is>
          <t>6</t>
        </is>
      </c>
      <c r="D27" s="7" t="inlineStr">
        <is>
          <t>Refresh Management</t>
        </is>
      </c>
      <c r="E27" s="34" t="inlineStr">
        <is>
          <t>Raghul</t>
        </is>
      </c>
      <c r="F27" s="9" t="inlineStr">
        <is>
          <t>CA AZ datasets, business/audit refresh requests</t>
        </is>
      </c>
      <c r="G27" s="10" t="inlineStr">
        <is>
          <t>Data pulled for RA FY2025 and refreshed at source system level on-demand (not fixed schedule). RA team extracts and stores in CA AZ. Document all refresh activities. Validate data integrity after each refresh.</t>
        </is>
      </c>
      <c r="H27" s="11" t="inlineStr">
        <is>
          <t>Refresh activity log, extracted dataset files (refreshed), refresh validation reports</t>
        </is>
      </c>
      <c r="I27" s="23" t="inlineStr">
        <is>
          <t>No</t>
        </is>
      </c>
      <c r="J27" s="10" t="inlineStr"/>
      <c r="K27" s="13" t="inlineStr">
        <is>
          <t>DATA PROVISIONED IN AZ</t>
        </is>
      </c>
      <c r="L27" s="14" t="inlineStr">
        <is>
          <t>CA AZ / SharePoint</t>
        </is>
      </c>
      <c r="M27" s="15" t="inlineStr">
        <is>
          <t>Data Sourcing &amp; Lineage v1.0</t>
        </is>
      </c>
      <c r="N27" s="10" t="inlineStr"/>
    </row>
    <row r="28" ht="52" customHeight="1">
      <c r="A28" s="30" t="inlineStr"/>
      <c r="B28" s="31" t="inlineStr"/>
      <c r="C28" s="32" t="inlineStr">
        <is>
          <t>7</t>
        </is>
      </c>
      <c r="D28" s="16" t="inlineStr">
        <is>
          <t>Data Retention</t>
        </is>
      </c>
      <c r="E28" s="33" t="inlineStr">
        <is>
          <t>Raghul</t>
        </is>
      </c>
      <c r="F28" s="18" t="inlineStr">
        <is>
          <t>CA AZ datasets, organizational retention policies</t>
        </is>
      </c>
      <c r="G28" s="19" t="inlineStr">
        <is>
          <t>Currently no defined retention policy — datasets stored in CA AZ without a defined retention period. Periodically review organizational and regulatory requirements. Update documentation if requirements change.</t>
        </is>
      </c>
      <c r="H28" s="20" t="inlineStr">
        <is>
          <t>Data retention statement, retention policy reference (if applicable), retention/disposal log</t>
        </is>
      </c>
      <c r="I28" s="24" t="inlineStr">
        <is>
          <t>No</t>
        </is>
      </c>
      <c r="J28" s="19" t="inlineStr"/>
      <c r="K28" s="13" t="inlineStr">
        <is>
          <t>N/A</t>
        </is>
      </c>
      <c r="L28" s="21" t="inlineStr">
        <is>
          <t>SharePoint</t>
        </is>
      </c>
      <c r="M28" s="22" t="inlineStr">
        <is>
          <t>Data Sourcing &amp; Lineage v1.0</t>
        </is>
      </c>
      <c r="N28" s="19" t="inlineStr"/>
    </row>
    <row r="29" ht="52" customHeight="1">
      <c r="A29" s="35" t="inlineStr">
        <is>
          <t>Governance &amp; Issue Management</t>
        </is>
      </c>
      <c r="B29" s="36" t="inlineStr">
        <is>
          <t>Decision Logging; Assumptions; Issue Mgmt; Escalation; Risk Acceptance</t>
        </is>
      </c>
      <c r="C29" s="37" t="inlineStr">
        <is>
          <t>1</t>
        </is>
      </c>
      <c r="D29" s="7" t="inlineStr">
        <is>
          <t>Decision Logging</t>
        </is>
      </c>
      <c r="E29" s="38" t="inlineStr">
        <is>
          <t>Patty</t>
        </is>
      </c>
      <c r="F29" s="9" t="inlineStr">
        <is>
          <t>Business logic discussions, methodology decisions</t>
        </is>
      </c>
      <c r="G29" s="10" t="inlineStr">
        <is>
          <t>All business logic, scoping, and methodological decisions must be captured in Jira. Unlogged out-of-band decisions are not permitted. Initial business rules and metric definitions formalized while ticket is in BUSINESS LOGIC DESIGN DEF and BUSINESS LOGIC SEMANTIC states.</t>
        </is>
      </c>
      <c r="H29" s="11" t="inlineStr">
        <is>
          <t>Jira ticket in BUSINESS LOGIC DESIGN DEF state with full decision notes</t>
        </is>
      </c>
      <c r="I29" s="23" t="inlineStr">
        <is>
          <t>No</t>
        </is>
      </c>
      <c r="J29" s="10" t="inlineStr"/>
      <c r="K29" s="13" t="inlineStr">
        <is>
          <t>BUSINESS LOGIC DESIGN DEF / BUSINESS LOGIC SEMANTIC</t>
        </is>
      </c>
      <c r="L29" s="14" t="inlineStr">
        <is>
          <t>Jira</t>
        </is>
      </c>
      <c r="M29" s="15" t="inlineStr">
        <is>
          <t>QA &amp; Governance SOP v2.1</t>
        </is>
      </c>
      <c r="N29" s="10" t="inlineStr"/>
    </row>
    <row r="30" ht="52" customHeight="1">
      <c r="A30" s="35" t="inlineStr"/>
      <c r="B30" s="36" t="inlineStr"/>
      <c r="C30" s="37" t="inlineStr">
        <is>
          <t>2</t>
        </is>
      </c>
      <c r="D30" s="16" t="inlineStr">
        <is>
          <t>Assumption Tracking</t>
        </is>
      </c>
      <c r="E30" s="39" t="inlineStr">
        <is>
          <t>Patty</t>
        </is>
      </c>
      <c r="F30" s="18" t="inlineStr">
        <is>
          <t>Ambiguous requirements, proxy data, default thresholds</t>
        </is>
      </c>
      <c r="G30" s="19" t="inlineStr">
        <is>
          <t>Ambiguities in requirements, default thresholds, or proxy data assumptions must be formally documented. Resolved while ticket is in METRIC DEFINITION CLARIFICATION or BAU CDE DOCUMENTATION state.</t>
        </is>
      </c>
      <c r="H30" s="20" t="inlineStr">
        <is>
          <t>Jira ticket in METRIC DEFINITION CLARIFICATION state, assumption log</t>
        </is>
      </c>
      <c r="I30" s="24" t="inlineStr">
        <is>
          <t>No</t>
        </is>
      </c>
      <c r="J30" s="19" t="inlineStr"/>
      <c r="K30" s="13" t="inlineStr">
        <is>
          <t>METRIC DEFINITION CLARIFICATION / BAU CDE DOCUMENTATION</t>
        </is>
      </c>
      <c r="L30" s="21" t="inlineStr">
        <is>
          <t>Jira</t>
        </is>
      </c>
      <c r="M30" s="22" t="inlineStr">
        <is>
          <t>QA &amp; Governance SOP v2.1</t>
        </is>
      </c>
      <c r="N30" s="19" t="inlineStr"/>
    </row>
    <row r="31" ht="52" customHeight="1">
      <c r="A31" s="35" t="inlineStr"/>
      <c r="B31" s="36" t="inlineStr"/>
      <c r="C31" s="37" t="inlineStr">
        <is>
          <t>3</t>
        </is>
      </c>
      <c r="D31" s="7" t="inlineStr">
        <is>
          <t>Issue Logging</t>
        </is>
      </c>
      <c r="E31" s="38" t="inlineStr">
        <is>
          <t>Patty</t>
        </is>
      </c>
      <c r="F31" s="9" t="inlineStr">
        <is>
          <t>Identified blockers, data issues, QA failures</t>
        </is>
      </c>
      <c r="G31" s="10" t="inlineStr">
        <is>
          <t>If metric cannot proceed due to upstream QA failure or missing source file, Jira ticket must immediately transition to BLOCKED. Corresponding entry captured in formal RAID Log.</t>
        </is>
      </c>
      <c r="H31" s="11" t="inlineStr">
        <is>
          <t>RAID log entry, Jira BLOCKED ticket with issue detail</t>
        </is>
      </c>
      <c r="I31" s="23" t="inlineStr">
        <is>
          <t>No</t>
        </is>
      </c>
      <c r="J31" s="10" t="inlineStr"/>
      <c r="K31" s="13" t="inlineStr">
        <is>
          <t>BLOCKED</t>
        </is>
      </c>
      <c r="L31" s="14" t="inlineStr">
        <is>
          <t>Jira / SharePoint</t>
        </is>
      </c>
      <c r="M31" s="15" t="inlineStr">
        <is>
          <t>QA &amp; Governance SOP v2.1</t>
        </is>
      </c>
      <c r="N31" s="10" t="inlineStr"/>
    </row>
    <row r="32" ht="52" customHeight="1">
      <c r="A32" s="35" t="inlineStr"/>
      <c r="B32" s="36" t="inlineStr"/>
      <c r="C32" s="37" t="inlineStr">
        <is>
          <t>4</t>
        </is>
      </c>
      <c r="D32" s="16" t="inlineStr">
        <is>
          <t>Severity Assessment</t>
        </is>
      </c>
      <c r="E32" s="39" t="inlineStr">
        <is>
          <t>Patty</t>
        </is>
      </c>
      <c r="F32" s="18" t="inlineStr">
        <is>
          <t>Logged issues in RAID</t>
        </is>
      </c>
      <c r="G32" s="19" t="inlineStr">
        <is>
          <t>Issues undergo standardized severity assessment: P1 = critical data gaps, P2 = systemic failures, P3 = localized logic discrepancies. Priority determines escalation urgency and SLA.</t>
        </is>
      </c>
      <c r="H32" s="20" t="inlineStr">
        <is>
          <t>Severity classification (P1/P2/P3) in RAID log</t>
        </is>
      </c>
      <c r="I32" s="24" t="inlineStr">
        <is>
          <t>No</t>
        </is>
      </c>
      <c r="J32" s="19" t="inlineStr"/>
      <c r="K32" s="13" t="inlineStr">
        <is>
          <t>BLOCKED</t>
        </is>
      </c>
      <c r="L32" s="21" t="inlineStr">
        <is>
          <t>Jira / SharePoint</t>
        </is>
      </c>
      <c r="M32" s="22" t="inlineStr">
        <is>
          <t>QA &amp; Governance SOP v2.1</t>
        </is>
      </c>
      <c r="N32" s="19" t="inlineStr"/>
    </row>
    <row r="33" ht="52" customHeight="1">
      <c r="A33" s="35" t="inlineStr"/>
      <c r="B33" s="36" t="inlineStr"/>
      <c r="C33" s="37" t="inlineStr">
        <is>
          <t>5</t>
        </is>
      </c>
      <c r="D33" s="7" t="inlineStr">
        <is>
          <t>Escalation Pathways</t>
        </is>
      </c>
      <c r="E33" s="38" t="inlineStr">
        <is>
          <t>Tom</t>
        </is>
      </c>
      <c r="F33" s="9" t="inlineStr">
        <is>
          <t>Unresolved BLOCKED issues beyond SLA</t>
        </is>
      </c>
      <c r="G33" s="10" t="inlineStr">
        <is>
          <t>When issue cannot be resolved within SLAs, use structured escalation matrix: Developer → Team Lead → Project Manager → Business Stakeholders / 2LOD. Escalations must clearly categorize blocker type.</t>
        </is>
      </c>
      <c r="H33" s="11" t="inlineStr">
        <is>
          <t>Escalation record, Jira comments showing escalation chain, 2LOD notification</t>
        </is>
      </c>
      <c r="I33" s="23" t="inlineStr">
        <is>
          <t>No</t>
        </is>
      </c>
      <c r="J33" s="10" t="inlineStr"/>
      <c r="K33" s="13" t="inlineStr">
        <is>
          <t>BLOCKED</t>
        </is>
      </c>
      <c r="L33" s="14" t="inlineStr">
        <is>
          <t>Jira / Email</t>
        </is>
      </c>
      <c r="M33" s="15" t="inlineStr">
        <is>
          <t>QA &amp; Governance SOP v2.1</t>
        </is>
      </c>
      <c r="N33" s="10" t="inlineStr"/>
    </row>
    <row r="34" ht="52" customHeight="1">
      <c r="A34" s="35" t="inlineStr"/>
      <c r="B34" s="36" t="inlineStr"/>
      <c r="C34" s="37" t="inlineStr">
        <is>
          <t>6</t>
        </is>
      </c>
      <c r="D34" s="16" t="inlineStr">
        <is>
          <t>Resolution &amp; Unblocking</t>
        </is>
      </c>
      <c r="E34" s="39" t="inlineStr">
        <is>
          <t>Tom</t>
        </is>
      </c>
      <c r="F34" s="18" t="inlineStr">
        <is>
          <t>Resolved issues, RAID log closure</t>
        </is>
      </c>
      <c r="G34" s="19" t="inlineStr">
        <is>
          <t>Issue is formally considered resolved only when marked 'Closed' in RAID log. Only then may the Jira ticket leave BLOCKED state and proceed toward READY FOR FINAL REVIEW.</t>
        </is>
      </c>
      <c r="H34" s="20" t="inlineStr">
        <is>
          <t>RAID log closure record, Jira state transition off BLOCKED</t>
        </is>
      </c>
      <c r="I34" s="12" t="inlineStr">
        <is>
          <t>Yes</t>
        </is>
      </c>
      <c r="J34" s="19" t="inlineStr">
        <is>
          <t>Team Lead</t>
        </is>
      </c>
      <c r="K34" s="13" t="inlineStr">
        <is>
          <t>BLOCKED → READY FOR FINAL REVIEW</t>
        </is>
      </c>
      <c r="L34" s="21" t="inlineStr">
        <is>
          <t>Jira / SharePoint</t>
        </is>
      </c>
      <c r="M34" s="22" t="inlineStr">
        <is>
          <t>QA &amp; Governance SOP v2.1</t>
        </is>
      </c>
      <c r="N34" s="19" t="inlineStr"/>
    </row>
    <row r="35" ht="52" customHeight="1">
      <c r="A35" s="35" t="inlineStr"/>
      <c r="B35" s="36" t="inlineStr"/>
      <c r="C35" s="37" t="inlineStr">
        <is>
          <t>7</t>
        </is>
      </c>
      <c r="D35" s="7" t="inlineStr">
        <is>
          <t>Risk Acceptance</t>
        </is>
      </c>
      <c r="E35" s="38" t="inlineStr">
        <is>
          <t>Tom</t>
        </is>
      </c>
      <c r="F35" s="9" t="inlineStr">
        <is>
          <t>Unresolvable issues, data below 95% threshold</t>
        </is>
      </c>
      <c r="G35" s="10" t="inlineStr">
        <is>
          <t>If data completeness falls below required thresholds and cannot be remediated before reporting deadlines, must be formally risk-accepted by all key stakeholders. Metric ticket transitioned to NOT AVAILABLE. Triggers default to higher risk rating for impacted AU.</t>
        </is>
      </c>
      <c r="H35" s="11" t="inlineStr">
        <is>
          <t>Risk acceptance record, metric in NOT AVAILABLE Jira state, stakeholder sign-off</t>
        </is>
      </c>
      <c r="I35" s="12" t="inlineStr">
        <is>
          <t>Yes</t>
        </is>
      </c>
      <c r="J35" s="10" t="inlineStr">
        <is>
          <t>AVP+ / 2LOD</t>
        </is>
      </c>
      <c r="K35" s="13" t="inlineStr">
        <is>
          <t>NOT AVAILABLE</t>
        </is>
      </c>
      <c r="L35" s="14" t="inlineStr">
        <is>
          <t>SharePoint / Jira</t>
        </is>
      </c>
      <c r="M35" s="15" t="inlineStr">
        <is>
          <t>QA &amp; Governance SOP v2.1</t>
        </is>
      </c>
      <c r="N35" s="10" t="inlineStr"/>
    </row>
    <row r="36" ht="52" customHeight="1">
      <c r="A36" s="35" t="inlineStr"/>
      <c r="B36" s="36" t="inlineStr"/>
      <c r="C36" s="37" t="inlineStr">
        <is>
          <t>8</t>
        </is>
      </c>
      <c r="D36" s="16" t="inlineStr">
        <is>
          <t>Decommissioning</t>
        </is>
      </c>
      <c r="E36" s="39" t="inlineStr">
        <is>
          <t>Tom</t>
        </is>
      </c>
      <c r="F36" s="18" t="inlineStr">
        <is>
          <t>Out-of-scope metrics, retired AUs, deprecated work packages</t>
        </is>
      </c>
      <c r="G36" s="19" t="inlineStr">
        <is>
          <t>Metrics, AUs, or Work Packages retired or no longer applicable must be transitioned to NO LONGER REQUIRED or NOT APPLICABLE Jira states. Ensures historical traceability.</t>
        </is>
      </c>
      <c r="H36" s="20" t="inlineStr">
        <is>
          <t>Jira state: NO LONGER REQUIRED or NOT APPLICABLE, SOW scope change log entry</t>
        </is>
      </c>
      <c r="I36" s="24" t="inlineStr">
        <is>
          <t>No</t>
        </is>
      </c>
      <c r="J36" s="19" t="inlineStr"/>
      <c r="K36" s="13" t="inlineStr">
        <is>
          <t>NO LONGER REQUIRED / NOT APPLICABLE</t>
        </is>
      </c>
      <c r="L36" s="21" t="inlineStr">
        <is>
          <t>Jira / SharePoint</t>
        </is>
      </c>
      <c r="M36" s="22" t="inlineStr">
        <is>
          <t>QA &amp; Governance SOP v2.1</t>
        </is>
      </c>
      <c r="N36" s="19" t="inlineStr"/>
    </row>
    <row r="37" ht="52" customHeight="1">
      <c r="A37" s="40" t="inlineStr">
        <is>
          <t>Access Control &amp; Security</t>
        </is>
      </c>
      <c r="B37" s="41" t="inlineStr">
        <is>
          <t>PIAs; Access Control; DEV vs PROD; Periodic Reviews; Retention</t>
        </is>
      </c>
      <c r="C37" s="42" t="inlineStr">
        <is>
          <t>1</t>
        </is>
      </c>
      <c r="D37" s="7" t="inlineStr">
        <is>
          <t>PIA Initiation</t>
        </is>
      </c>
      <c r="E37" s="43" t="inlineStr">
        <is>
          <t>Hua</t>
        </is>
      </c>
      <c r="F37" s="9" t="inlineStr">
        <is>
          <t>Data source list, privacy requirements</t>
        </is>
      </c>
      <c r="G37" s="10" t="inlineStr">
        <is>
          <t>Initiate Privacy Impact Assessment for each data source requiring access to personal or sensitive data. Follow organizational PIA guidelines. Coordinate with Privacy Team. PIA BUILD → WITH PRIVACY TEAM → PIA APPROVED.</t>
        </is>
      </c>
      <c r="H37" s="11" t="inlineStr">
        <is>
          <t>PIA documentation, PIA Jira state transitions</t>
        </is>
      </c>
      <c r="I37" s="12" t="inlineStr">
        <is>
          <t>Yes</t>
        </is>
      </c>
      <c r="J37" s="10" t="inlineStr">
        <is>
          <t>Privacy Team</t>
        </is>
      </c>
      <c r="K37" s="13" t="inlineStr">
        <is>
          <t>PIA BUILD → WITH PRIVACY TEAM → PIA APPROVED</t>
        </is>
      </c>
      <c r="L37" s="14" t="inlineStr">
        <is>
          <t>SharePoint / Jira</t>
        </is>
      </c>
      <c r="M37" s="15" t="inlineStr">
        <is>
          <t>Access Control SOP</t>
        </is>
      </c>
      <c r="N37" s="10" t="inlineStr"/>
    </row>
    <row r="38" ht="52" customHeight="1">
      <c r="A38" s="40" t="inlineStr"/>
      <c r="B38" s="41" t="inlineStr"/>
      <c r="C38" s="42" t="inlineStr">
        <is>
          <t>2</t>
        </is>
      </c>
      <c r="D38" s="16" t="inlineStr">
        <is>
          <t>Access Request &amp; Approval</t>
        </is>
      </c>
      <c r="E38" s="44" t="inlineStr">
        <is>
          <t>Hua</t>
        </is>
      </c>
      <c r="F38" s="18" t="inlineStr">
        <is>
          <t>Approved PIA, system access requirements</t>
        </is>
      </c>
      <c r="G38" s="19" t="inlineStr">
        <is>
          <t>Submit access requests for all required systems and datasets. Track and follow up on approvals. Maintain records of all access permissions and compliance checks for audit purposes.</t>
        </is>
      </c>
      <c r="H38" s="20" t="inlineStr">
        <is>
          <t>Access request forms, access approval records, access approval log</t>
        </is>
      </c>
      <c r="I38" s="12" t="inlineStr">
        <is>
          <t>Yes</t>
        </is>
      </c>
      <c r="J38" s="19" t="inlineStr">
        <is>
          <t>Data Owner / IT Security</t>
        </is>
      </c>
      <c r="K38" s="13" t="inlineStr">
        <is>
          <t>DATA SOURCE(S) IDENTIFIED</t>
        </is>
      </c>
      <c r="L38" s="21" t="inlineStr">
        <is>
          <t>SharePoint</t>
        </is>
      </c>
      <c r="M38" s="22" t="inlineStr">
        <is>
          <t>Access Control SOP</t>
        </is>
      </c>
      <c r="N38" s="19" t="inlineStr"/>
    </row>
    <row r="39" ht="52" customHeight="1">
      <c r="A39" s="40" t="inlineStr"/>
      <c r="B39" s="41" t="inlineStr"/>
      <c r="C39" s="42" t="inlineStr">
        <is>
          <t>3</t>
        </is>
      </c>
      <c r="D39" s="7" t="inlineStr">
        <is>
          <t>Access Control Matrix</t>
        </is>
      </c>
      <c r="E39" s="43" t="inlineStr">
        <is>
          <t>TBD</t>
        </is>
      </c>
      <c r="F39" s="9" t="inlineStr">
        <is>
          <t>Approved access records</t>
        </is>
      </c>
      <c r="G39" s="10" t="inlineStr">
        <is>
          <t>Maintain access control matrix documenting who has access to which systems, datasets, and environments. Document segregation of duties.</t>
        </is>
      </c>
      <c r="H39" s="11" t="inlineStr">
        <is>
          <t>Access control matrix, segregation of duties documentation</t>
        </is>
      </c>
      <c r="I39" s="23" t="inlineStr">
        <is>
          <t>No</t>
        </is>
      </c>
      <c r="J39" s="10" t="inlineStr"/>
      <c r="K39" s="13" t="inlineStr">
        <is>
          <t>N/A</t>
        </is>
      </c>
      <c r="L39" s="14" t="inlineStr">
        <is>
          <t>SharePoint</t>
        </is>
      </c>
      <c r="M39" s="15" t="inlineStr">
        <is>
          <t>Access Control SOP</t>
        </is>
      </c>
      <c r="N39" s="10" t="inlineStr"/>
    </row>
    <row r="40" ht="52" customHeight="1">
      <c r="A40" s="40" t="inlineStr"/>
      <c r="B40" s="41" t="inlineStr"/>
      <c r="C40" s="42" t="inlineStr">
        <is>
          <t>4</t>
        </is>
      </c>
      <c r="D40" s="16" t="inlineStr">
        <is>
          <t>DEV vs PROD Separation</t>
        </is>
      </c>
      <c r="E40" s="44" t="inlineStr">
        <is>
          <t>TBD</t>
        </is>
      </c>
      <c r="F40" s="18" t="inlineStr">
        <is>
          <t>Environment configuration</t>
        </is>
      </c>
      <c r="G40" s="19" t="inlineStr">
        <is>
          <t>Maintain strict separation between DEV and PROD environments. No production data in DEV without approval. Document environment boundaries and access controls.</t>
        </is>
      </c>
      <c r="H40" s="20" t="inlineStr">
        <is>
          <t>DEV/PROD separation evidence, environment access records</t>
        </is>
      </c>
      <c r="I40" s="24" t="inlineStr">
        <is>
          <t>No</t>
        </is>
      </c>
      <c r="J40" s="19" t="inlineStr"/>
      <c r="K40" s="13" t="inlineStr">
        <is>
          <t>N/A</t>
        </is>
      </c>
      <c r="L40" s="21" t="inlineStr">
        <is>
          <t>SharePoint</t>
        </is>
      </c>
      <c r="M40" s="22" t="inlineStr">
        <is>
          <t>Access Control SOP</t>
        </is>
      </c>
      <c r="N40" s="19" t="inlineStr"/>
    </row>
    <row r="41" ht="52" customHeight="1">
      <c r="A41" s="40" t="inlineStr"/>
      <c r="B41" s="41" t="inlineStr"/>
      <c r="C41" s="42" t="inlineStr">
        <is>
          <t>5</t>
        </is>
      </c>
      <c r="D41" s="7" t="inlineStr">
        <is>
          <t>Periodic Access Review</t>
        </is>
      </c>
      <c r="E41" s="43" t="inlineStr">
        <is>
          <t>TBD</t>
        </is>
      </c>
      <c r="F41" s="9" t="inlineStr">
        <is>
          <t>Current access records</t>
        </is>
      </c>
      <c r="G41" s="10" t="inlineStr">
        <is>
          <t>Conduct periodic reviews of all access permissions. Remove stale or unnecessary access. Document review outcomes and maintain audit trail of access changes.</t>
        </is>
      </c>
      <c r="H41" s="11" t="inlineStr">
        <is>
          <t>Periodic access review log, attestation records</t>
        </is>
      </c>
      <c r="I41" s="12" t="inlineStr">
        <is>
          <t>Yes</t>
        </is>
      </c>
      <c r="J41" s="10" t="inlineStr">
        <is>
          <t>Team Lead / Security</t>
        </is>
      </c>
      <c r="K41" s="13" t="inlineStr">
        <is>
          <t>N/A</t>
        </is>
      </c>
      <c r="L41" s="14" t="inlineStr">
        <is>
          <t>SharePoint</t>
        </is>
      </c>
      <c r="M41" s="15" t="inlineStr">
        <is>
          <t>Access Control SOP</t>
        </is>
      </c>
      <c r="N41" s="10" t="inlineStr"/>
    </row>
    <row r="42" ht="52" customHeight="1">
      <c r="A42" s="45" t="inlineStr">
        <is>
          <t>Change Management</t>
        </is>
      </c>
      <c r="B42" s="46" t="inlineStr">
        <is>
          <t>Change Tickets; Git Version Control; Approvals; Deployment; Rollback</t>
        </is>
      </c>
      <c r="C42" s="47" t="inlineStr">
        <is>
          <t>1</t>
        </is>
      </c>
      <c r="D42" s="16" t="inlineStr">
        <is>
          <t>Change Request</t>
        </is>
      </c>
      <c r="E42" s="48" t="inlineStr">
        <is>
          <t>TBD</t>
        </is>
      </c>
      <c r="F42" s="18" t="inlineStr">
        <is>
          <t>Proposed logic/scope change, business justification</t>
        </is>
      </c>
      <c r="G42" s="19" t="inlineStr">
        <is>
          <t>Raise Jira change ticket before any modification to metric logic, data sources, or scope. Document change description, impacted metrics, AUs, and rationale.</t>
        </is>
      </c>
      <c r="H42" s="20" t="inlineStr">
        <is>
          <t>Jira change ticket with full change description</t>
        </is>
      </c>
      <c r="I42" s="24" t="inlineStr">
        <is>
          <t>No</t>
        </is>
      </c>
      <c r="J42" s="19" t="inlineStr"/>
      <c r="K42" s="13" t="inlineStr">
        <is>
          <t>BUSINESS LOGIC DESIGN DEF</t>
        </is>
      </c>
      <c r="L42" s="21" t="inlineStr">
        <is>
          <t>Jira</t>
        </is>
      </c>
      <c r="M42" s="22" t="inlineStr">
        <is>
          <t>Change Management SOP</t>
        </is>
      </c>
      <c r="N42" s="19" t="inlineStr"/>
    </row>
    <row r="43" ht="52" customHeight="1">
      <c r="A43" s="45" t="inlineStr"/>
      <c r="B43" s="46" t="inlineStr"/>
      <c r="C43" s="47" t="inlineStr">
        <is>
          <t>2</t>
        </is>
      </c>
      <c r="D43" s="7" t="inlineStr">
        <is>
          <t>Impact Assessment</t>
        </is>
      </c>
      <c r="E43" s="49" t="inlineStr">
        <is>
          <t>TBD</t>
        </is>
      </c>
      <c r="F43" s="9" t="inlineStr">
        <is>
          <t>Change ticket, metric dependency map</t>
        </is>
      </c>
      <c r="G43" s="10" t="inlineStr">
        <is>
          <t>Assess impact of proposed change on affected metrics, AUs, downstream outputs. Document assessment in Jira ticket. Identify any re-testing or re-validation required.</t>
        </is>
      </c>
      <c r="H43" s="11" t="inlineStr">
        <is>
          <t>Impact assessment notes in Jira ticket</t>
        </is>
      </c>
      <c r="I43" s="23" t="inlineStr">
        <is>
          <t>No</t>
        </is>
      </c>
      <c r="J43" s="10" t="inlineStr"/>
      <c r="K43" s="13" t="inlineStr">
        <is>
          <t>BUSINESS LOGIC DESIGN DEF</t>
        </is>
      </c>
      <c r="L43" s="14" t="inlineStr">
        <is>
          <t>Jira</t>
        </is>
      </c>
      <c r="M43" s="15" t="inlineStr">
        <is>
          <t>Change Management SOP</t>
        </is>
      </c>
      <c r="N43" s="10" t="inlineStr"/>
    </row>
    <row r="44" ht="52" customHeight="1">
      <c r="A44" s="45" t="inlineStr"/>
      <c r="B44" s="46" t="inlineStr"/>
      <c r="C44" s="47" t="inlineStr">
        <is>
          <t>3</t>
        </is>
      </c>
      <c r="D44" s="16" t="inlineStr">
        <is>
          <t>Change Approval</t>
        </is>
      </c>
      <c r="E44" s="48" t="inlineStr">
        <is>
          <t>TBD</t>
        </is>
      </c>
      <c r="F44" s="18" t="inlineStr">
        <is>
          <t>Impact-assessed change ticket</t>
        </is>
      </c>
      <c r="G44" s="19" t="inlineStr">
        <is>
          <t>Obtain approval for change before implementation. Approver must be independent of change requester. Approval logged in Jira ticket.</t>
        </is>
      </c>
      <c r="H44" s="20" t="inlineStr">
        <is>
          <t>Approval sign-off on Jira change ticket</t>
        </is>
      </c>
      <c r="I44" s="12" t="inlineStr">
        <is>
          <t>Yes</t>
        </is>
      </c>
      <c r="J44" s="19" t="inlineStr">
        <is>
          <t>Team Lead / AVP+</t>
        </is>
      </c>
      <c r="K44" s="13" t="inlineStr">
        <is>
          <t>PO CONCURRENCE</t>
        </is>
      </c>
      <c r="L44" s="21" t="inlineStr">
        <is>
          <t>Jira</t>
        </is>
      </c>
      <c r="M44" s="22" t="inlineStr">
        <is>
          <t>Change Management SOP</t>
        </is>
      </c>
      <c r="N44" s="19" t="inlineStr"/>
    </row>
    <row r="45" ht="52" customHeight="1">
      <c r="A45" s="45" t="inlineStr"/>
      <c r="B45" s="46" t="inlineStr"/>
      <c r="C45" s="47" t="inlineStr">
        <is>
          <t>4</t>
        </is>
      </c>
      <c r="D45" s="7" t="inlineStr">
        <is>
          <t>Version Control</t>
        </is>
      </c>
      <c r="E45" s="49" t="inlineStr">
        <is>
          <t>TBD</t>
        </is>
      </c>
      <c r="F45" s="9" t="inlineStr">
        <is>
          <t>Approved change, existing codebase</t>
        </is>
      </c>
      <c r="G45" s="10" t="inlineStr">
        <is>
          <t>All code changes committed to Git with meaningful commit messages referencing Jira ticket ID. Pull request / merge record maintained. Full version history preserved.</t>
        </is>
      </c>
      <c r="H45" s="11" t="inlineStr">
        <is>
          <t>Git commit history, PR/merge record, branch history</t>
        </is>
      </c>
      <c r="I45" s="23" t="inlineStr">
        <is>
          <t>No</t>
        </is>
      </c>
      <c r="J45" s="10" t="inlineStr"/>
      <c r="K45" s="13" t="inlineStr">
        <is>
          <t>BUILD IN PROGRESS</t>
        </is>
      </c>
      <c r="L45" s="14" t="inlineStr">
        <is>
          <t>GitHub</t>
        </is>
      </c>
      <c r="M45" s="15" t="inlineStr">
        <is>
          <t>Change Management SOP</t>
        </is>
      </c>
      <c r="N45" s="10" t="inlineStr"/>
    </row>
    <row r="46" ht="52" customHeight="1">
      <c r="A46" s="45" t="inlineStr"/>
      <c r="B46" s="46" t="inlineStr"/>
      <c r="C46" s="47" t="inlineStr">
        <is>
          <t>5</t>
        </is>
      </c>
      <c r="D46" s="16" t="inlineStr">
        <is>
          <t>Deployment &amp; Rollback</t>
        </is>
      </c>
      <c r="E46" s="48" t="inlineStr">
        <is>
          <t>TBD</t>
        </is>
      </c>
      <c r="F46" s="18" t="inlineStr">
        <is>
          <t>Approved, version-controlled change</t>
        </is>
      </c>
      <c r="G46" s="19" t="inlineStr">
        <is>
          <t>Deploy change to production following standard deployment process. Document deployment. Maintain rollback procedures in case of failure. Archive prior version outputs.</t>
        </is>
      </c>
      <c r="H46" s="20" t="inlineStr">
        <is>
          <t>Deployment log, release notes, rollback procedure</t>
        </is>
      </c>
      <c r="I46" s="12" t="inlineStr">
        <is>
          <t>Yes</t>
        </is>
      </c>
      <c r="J46" s="19" t="inlineStr">
        <is>
          <t>Team Lead</t>
        </is>
      </c>
      <c r="K46" s="13" t="inlineStr">
        <is>
          <t>PO APPROVED</t>
        </is>
      </c>
      <c r="L46" s="21" t="inlineStr">
        <is>
          <t>SharePoint / GitHub</t>
        </is>
      </c>
      <c r="M46" s="22" t="inlineStr">
        <is>
          <t>Change Management SOP</t>
        </is>
      </c>
      <c r="N46" s="19" t="inlineStr"/>
    </row>
    <row r="47" ht="52" customHeight="1">
      <c r="A47" s="45" t="inlineStr"/>
      <c r="B47" s="46" t="inlineStr"/>
      <c r="C47" s="47" t="inlineStr">
        <is>
          <t>6</t>
        </is>
      </c>
      <c r="D47" s="7" t="inlineStr">
        <is>
          <t>Scope Change Logging</t>
        </is>
      </c>
      <c r="E47" s="49" t="inlineStr">
        <is>
          <t>Richard Ng</t>
        </is>
      </c>
      <c r="F47" s="9" t="inlineStr">
        <is>
          <t>Approved scope change, SOW</t>
        </is>
      </c>
      <c r="G47" s="10" t="inlineStr">
        <is>
          <t>All scope changes logged in SOW (v1.32, updated weekly). Update cadence: Thursday → Friday → Monday → Tuesday. References Jira Kanban updates.</t>
        </is>
      </c>
      <c r="H47" s="11" t="inlineStr">
        <is>
          <t>SOW weekly change log entry (v1.32), scope change record</t>
        </is>
      </c>
      <c r="I47" s="23" t="inlineStr">
        <is>
          <t>No</t>
        </is>
      </c>
      <c r="J47" s="10" t="inlineStr"/>
      <c r="K47" s="13" t="inlineStr">
        <is>
          <t>N/A</t>
        </is>
      </c>
      <c r="L47" s="14" t="inlineStr">
        <is>
          <t>SharePoint</t>
        </is>
      </c>
      <c r="M47" s="15" t="inlineStr">
        <is>
          <t>Change Management SOP</t>
        </is>
      </c>
      <c r="N47" s="10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20" customWidth="1" min="3" max="3"/>
    <col width="11" customWidth="1" min="4" max="4"/>
    <col width="30" customWidth="1" min="5" max="5"/>
    <col width="24" customWidth="1" min="6" max="6"/>
    <col width="30" customWidth="1" min="7" max="7"/>
    <col width="9" customWidth="1" min="8" max="8"/>
    <col width="18" customWidth="1" min="9" max="9"/>
    <col width="12" customWidth="1" min="10" max="10"/>
    <col width="12" customWidth="1" min="11" max="11"/>
    <col width="24" customWidth="1" min="12" max="12"/>
    <col width="10" customWidth="1" min="13" max="13"/>
    <col width="10" customWidth="1" min="14" max="14"/>
    <col width="20" customWidth="1" min="15" max="15"/>
    <col width="10" customWidth="1" min="16" max="16"/>
  </cols>
  <sheetData>
    <row r="1" ht="30" customHeight="1">
      <c r="A1" s="1" t="inlineStr">
        <is>
          <t>FCRM Risk Assessment FY2025 — Evidence Tracker</t>
        </is>
      </c>
    </row>
    <row r="2" ht="16" customHeight="1">
      <c r="A2" s="2" t="inlineStr">
        <is>
          <t>Maps each process step to required evidence, artifact locations, status, and audit readiness  |  Internal  |  April 2026</t>
        </is>
      </c>
    </row>
    <row r="3" ht="6" customHeight="1"/>
    <row r="4" ht="40" customHeight="1">
      <c r="A4" s="3" t="inlineStr">
        <is>
          <t>Process</t>
        </is>
      </c>
      <c r="B4" s="3" t="inlineStr">
        <is>
          <t>Step #</t>
        </is>
      </c>
      <c r="C4" s="3" t="inlineStr">
        <is>
          <t>Step Name</t>
        </is>
      </c>
      <c r="D4" s="3" t="inlineStr">
        <is>
          <t>Owner</t>
        </is>
      </c>
      <c r="E4" s="3" t="inlineStr">
        <is>
          <t>Expected Evidence / Artifact</t>
        </is>
      </c>
      <c r="F4" s="3" t="inlineStr">
        <is>
          <t>Artifact Name / File</t>
        </is>
      </c>
      <c r="G4" s="3" t="inlineStr">
        <is>
          <t>SharePoint / Jira Location</t>
        </is>
      </c>
      <c r="H4" s="3" t="inlineStr">
        <is>
          <t>Status</t>
        </is>
      </c>
      <c r="I4" s="3" t="inlineStr">
        <is>
          <t>Jira Ticket(s)</t>
        </is>
      </c>
      <c r="J4" s="3" t="inlineStr">
        <is>
          <t>Last Verified</t>
        </is>
      </c>
      <c r="K4" s="3" t="inlineStr">
        <is>
          <t>Verified By</t>
        </is>
      </c>
      <c r="L4" s="3" t="inlineStr">
        <is>
          <t>Gap / Notes</t>
        </is>
      </c>
      <c r="M4" s="3" t="inlineStr">
        <is>
          <t>Priority</t>
        </is>
      </c>
      <c r="N4" s="3" t="inlineStr">
        <is>
          <t>Due Date</t>
        </is>
      </c>
      <c r="O4" s="3" t="inlineStr">
        <is>
          <t>SOP Reference</t>
        </is>
      </c>
      <c r="P4" s="3" t="inlineStr">
        <is>
          <t>Audit Ready?</t>
        </is>
      </c>
    </row>
    <row r="5" ht="22" customHeight="1">
      <c r="A5" s="4" t="inlineStr">
        <is>
          <t>Delivery Process</t>
        </is>
      </c>
      <c r="B5" s="6" t="inlineStr">
        <is>
          <t>0</t>
        </is>
      </c>
      <c r="C5" s="7" t="inlineStr">
        <is>
          <t>Intake Request</t>
        </is>
      </c>
      <c r="D5" s="8" t="inlineStr">
        <is>
          <t>Amandeep</t>
        </is>
      </c>
      <c r="E5" s="9" t="inlineStr">
        <is>
          <t>Jira ticket, CDE documentation</t>
        </is>
      </c>
      <c r="F5" s="50" t="inlineStr"/>
      <c r="G5" s="50" t="inlineStr"/>
      <c r="H5" s="12" t="inlineStr">
        <is>
          <t>Missing</t>
        </is>
      </c>
      <c r="I5" s="50" t="inlineStr"/>
      <c r="J5" s="51" t="inlineStr"/>
      <c r="K5" s="50" t="inlineStr"/>
      <c r="L5" s="50" t="inlineStr"/>
      <c r="M5" s="51" t="inlineStr"/>
      <c r="N5" s="51" t="inlineStr"/>
      <c r="O5" s="15" t="inlineStr">
        <is>
          <t>Delivery Process SOP v1.2</t>
        </is>
      </c>
      <c r="P5" s="12" t="inlineStr">
        <is>
          <t>No</t>
        </is>
      </c>
    </row>
    <row r="6" ht="22" customHeight="1">
      <c r="A6" s="4" t="inlineStr"/>
      <c r="B6" s="6" t="inlineStr">
        <is>
          <t>1</t>
        </is>
      </c>
      <c r="C6" s="16" t="inlineStr">
        <is>
          <t>Scope / Requirement Definition</t>
        </is>
      </c>
      <c r="D6" s="17" t="inlineStr">
        <is>
          <t>Amandeep</t>
        </is>
      </c>
      <c r="E6" s="18" t="inlineStr">
        <is>
          <t>Scope &amp; Requirements Document v1.2</t>
        </is>
      </c>
      <c r="F6" s="52" t="inlineStr"/>
      <c r="G6" s="52" t="inlineStr"/>
      <c r="H6" s="12" t="inlineStr">
        <is>
          <t>Missing</t>
        </is>
      </c>
      <c r="I6" s="52" t="inlineStr"/>
      <c r="J6" s="53" t="inlineStr"/>
      <c r="K6" s="52" t="inlineStr"/>
      <c r="L6" s="52" t="inlineStr"/>
      <c r="M6" s="53" t="inlineStr"/>
      <c r="N6" s="53" t="inlineStr"/>
      <c r="O6" s="22" t="inlineStr">
        <is>
          <t>Delivery Process SOP v1.2</t>
        </is>
      </c>
      <c r="P6" s="12" t="inlineStr">
        <is>
          <t>No</t>
        </is>
      </c>
    </row>
    <row r="7" ht="22" customHeight="1">
      <c r="A7" s="4" t="inlineStr"/>
      <c r="B7" s="6" t="inlineStr">
        <is>
          <t>2</t>
        </is>
      </c>
      <c r="C7" s="7" t="inlineStr">
        <is>
          <t>Data Acquisition</t>
        </is>
      </c>
      <c r="D7" s="8" t="inlineStr">
        <is>
          <t>Amandeep</t>
        </is>
      </c>
      <c r="E7" s="9" t="inlineStr">
        <is>
          <t>Extracted files, extraction scripts</t>
        </is>
      </c>
      <c r="F7" s="50" t="inlineStr"/>
      <c r="G7" s="50" t="inlineStr"/>
      <c r="H7" s="12" t="inlineStr">
        <is>
          <t>Missing</t>
        </is>
      </c>
      <c r="I7" s="50" t="inlineStr"/>
      <c r="J7" s="51" t="inlineStr"/>
      <c r="K7" s="50" t="inlineStr"/>
      <c r="L7" s="50" t="inlineStr"/>
      <c r="M7" s="51" t="inlineStr"/>
      <c r="N7" s="51" t="inlineStr"/>
      <c r="O7" s="15" t="inlineStr">
        <is>
          <t>Delivery Process SOP v1.2</t>
        </is>
      </c>
      <c r="P7" s="12" t="inlineStr">
        <is>
          <t>No</t>
        </is>
      </c>
    </row>
    <row r="8" ht="22" customHeight="1">
      <c r="A8" s="4" t="inlineStr"/>
      <c r="B8" s="6" t="inlineStr">
        <is>
          <t>3</t>
        </is>
      </c>
      <c r="C8" s="16" t="inlineStr">
        <is>
          <t>Logic Development (Build)</t>
        </is>
      </c>
      <c r="D8" s="17" t="inlineStr">
        <is>
          <t>Karthik</t>
        </is>
      </c>
      <c r="E8" s="18" t="inlineStr">
        <is>
          <t>Git commit history, code files</t>
        </is>
      </c>
      <c r="F8" s="52" t="inlineStr"/>
      <c r="G8" s="52" t="inlineStr"/>
      <c r="H8" s="12" t="inlineStr">
        <is>
          <t>Missing</t>
        </is>
      </c>
      <c r="I8" s="52" t="inlineStr"/>
      <c r="J8" s="53" t="inlineStr"/>
      <c r="K8" s="52" t="inlineStr"/>
      <c r="L8" s="52" t="inlineStr"/>
      <c r="M8" s="53" t="inlineStr"/>
      <c r="N8" s="53" t="inlineStr"/>
      <c r="O8" s="22" t="inlineStr">
        <is>
          <t>Delivery Process SOP v1.2</t>
        </is>
      </c>
      <c r="P8" s="12" t="inlineStr">
        <is>
          <t>No</t>
        </is>
      </c>
    </row>
    <row r="9" ht="22" customHeight="1">
      <c r="A9" s="4" t="inlineStr"/>
      <c r="B9" s="6" t="inlineStr">
        <is>
          <t>4</t>
        </is>
      </c>
      <c r="C9" s="7" t="inlineStr">
        <is>
          <t>Technical Specifications (Build)</t>
        </is>
      </c>
      <c r="D9" s="8" t="inlineStr">
        <is>
          <t>Karthik</t>
        </is>
      </c>
      <c r="E9" s="9" t="inlineStr">
        <is>
          <t>Technical specification document</t>
        </is>
      </c>
      <c r="F9" s="50" t="inlineStr"/>
      <c r="G9" s="50" t="inlineStr"/>
      <c r="H9" s="12" t="inlineStr">
        <is>
          <t>Missing</t>
        </is>
      </c>
      <c r="I9" s="50" t="inlineStr"/>
      <c r="J9" s="51" t="inlineStr"/>
      <c r="K9" s="50" t="inlineStr"/>
      <c r="L9" s="50" t="inlineStr"/>
      <c r="M9" s="51" t="inlineStr"/>
      <c r="N9" s="51" t="inlineStr"/>
      <c r="O9" s="15" t="inlineStr">
        <is>
          <t>Delivery Process SOP v1.2</t>
        </is>
      </c>
      <c r="P9" s="12" t="inlineStr">
        <is>
          <t>No</t>
        </is>
      </c>
    </row>
    <row r="10" ht="22" customHeight="1">
      <c r="A10" s="4" t="inlineStr"/>
      <c r="B10" s="6" t="inlineStr">
        <is>
          <t>5</t>
        </is>
      </c>
      <c r="C10" s="16" t="inlineStr">
        <is>
          <t>Output Validation</t>
        </is>
      </c>
      <c r="D10" s="17" t="inlineStr">
        <is>
          <t>Karthik</t>
        </is>
      </c>
      <c r="E10" s="18" t="inlineStr">
        <is>
          <t>Output validation report</t>
        </is>
      </c>
      <c r="F10" s="52" t="inlineStr"/>
      <c r="G10" s="52" t="inlineStr"/>
      <c r="H10" s="12" t="inlineStr">
        <is>
          <t>Missing</t>
        </is>
      </c>
      <c r="I10" s="52" t="inlineStr"/>
      <c r="J10" s="53" t="inlineStr"/>
      <c r="K10" s="52" t="inlineStr"/>
      <c r="L10" s="52" t="inlineStr"/>
      <c r="M10" s="53" t="inlineStr"/>
      <c r="N10" s="53" t="inlineStr"/>
      <c r="O10" s="22" t="inlineStr">
        <is>
          <t>QA &amp; Governance SOP v2.1</t>
        </is>
      </c>
      <c r="P10" s="12" t="inlineStr">
        <is>
          <t>No</t>
        </is>
      </c>
    </row>
    <row r="11" ht="22" customHeight="1">
      <c r="A11" s="4" t="inlineStr"/>
      <c r="B11" s="6" t="inlineStr">
        <is>
          <t>6</t>
        </is>
      </c>
      <c r="C11" s="7" t="inlineStr">
        <is>
          <t>Approval</t>
        </is>
      </c>
      <c r="D11" s="8" t="inlineStr">
        <is>
          <t>Karthik</t>
        </is>
      </c>
      <c r="E11" s="9" t="inlineStr">
        <is>
          <t>Jira state transition, approval record</t>
        </is>
      </c>
      <c r="F11" s="50" t="inlineStr"/>
      <c r="G11" s="50" t="inlineStr"/>
      <c r="H11" s="12" t="inlineStr">
        <is>
          <t>Missing</t>
        </is>
      </c>
      <c r="I11" s="50" t="inlineStr"/>
      <c r="J11" s="51" t="inlineStr"/>
      <c r="K11" s="50" t="inlineStr"/>
      <c r="L11" s="50" t="inlineStr"/>
      <c r="M11" s="51" t="inlineStr"/>
      <c r="N11" s="51" t="inlineStr"/>
      <c r="O11" s="15" t="inlineStr">
        <is>
          <t>Approvals Document v1.1</t>
        </is>
      </c>
      <c r="P11" s="12" t="inlineStr">
        <is>
          <t>No</t>
        </is>
      </c>
    </row>
    <row r="12" ht="22" customHeight="1">
      <c r="A12" s="4" t="inlineStr"/>
      <c r="B12" s="6" t="inlineStr">
        <is>
          <t>7</t>
        </is>
      </c>
      <c r="C12" s="16" t="inlineStr">
        <is>
          <t>Deployment</t>
        </is>
      </c>
      <c r="D12" s="17" t="inlineStr">
        <is>
          <t>Karthik</t>
        </is>
      </c>
      <c r="E12" s="18" t="inlineStr">
        <is>
          <t>Deployment log</t>
        </is>
      </c>
      <c r="F12" s="52" t="inlineStr"/>
      <c r="G12" s="52" t="inlineStr"/>
      <c r="H12" s="12" t="inlineStr">
        <is>
          <t>Missing</t>
        </is>
      </c>
      <c r="I12" s="52" t="inlineStr"/>
      <c r="J12" s="53" t="inlineStr"/>
      <c r="K12" s="52" t="inlineStr"/>
      <c r="L12" s="52" t="inlineStr"/>
      <c r="M12" s="53" t="inlineStr"/>
      <c r="N12" s="53" t="inlineStr"/>
      <c r="O12" s="22" t="inlineStr">
        <is>
          <t>Delivery Process SOP v1.2</t>
        </is>
      </c>
      <c r="P12" s="12" t="inlineStr">
        <is>
          <t>No</t>
        </is>
      </c>
    </row>
    <row r="13" ht="22" customHeight="1">
      <c r="A13" s="4" t="inlineStr"/>
      <c r="B13" s="6" t="inlineStr">
        <is>
          <t>8</t>
        </is>
      </c>
      <c r="C13" s="7" t="inlineStr">
        <is>
          <t>Delivery / Document Output</t>
        </is>
      </c>
      <c r="D13" s="8" t="inlineStr">
        <is>
          <t>Karthik</t>
        </is>
      </c>
      <c r="E13" s="9" t="inlineStr">
        <is>
          <t>Output files, delivery confirmation</t>
        </is>
      </c>
      <c r="F13" s="50" t="inlineStr"/>
      <c r="G13" s="50" t="inlineStr"/>
      <c r="H13" s="12" t="inlineStr">
        <is>
          <t>Missing</t>
        </is>
      </c>
      <c r="I13" s="50" t="inlineStr"/>
      <c r="J13" s="51" t="inlineStr"/>
      <c r="K13" s="50" t="inlineStr"/>
      <c r="L13" s="50" t="inlineStr"/>
      <c r="M13" s="51" t="inlineStr"/>
      <c r="N13" s="51" t="inlineStr"/>
      <c r="O13" s="15" t="inlineStr">
        <is>
          <t>Delivery Process SOP v1.2</t>
        </is>
      </c>
      <c r="P13" s="12" t="inlineStr">
        <is>
          <t>No</t>
        </is>
      </c>
    </row>
    <row r="14" ht="22" customHeight="1">
      <c r="A14" s="25" t="inlineStr">
        <is>
          <t>Validation &amp; Quality Assurance</t>
        </is>
      </c>
      <c r="B14" s="27" t="inlineStr">
        <is>
          <t>1</t>
        </is>
      </c>
      <c r="C14" s="16" t="inlineStr">
        <is>
          <t>Validation Planning</t>
        </is>
      </c>
      <c r="D14" s="28" t="inlineStr">
        <is>
          <t>Priyanshi</t>
        </is>
      </c>
      <c r="E14" s="18" t="inlineStr">
        <is>
          <t>Validation Plan Document</t>
        </is>
      </c>
      <c r="F14" s="52" t="inlineStr"/>
      <c r="G14" s="52" t="inlineStr"/>
      <c r="H14" s="12" t="inlineStr">
        <is>
          <t>Missing</t>
        </is>
      </c>
      <c r="I14" s="52" t="inlineStr"/>
      <c r="J14" s="53" t="inlineStr"/>
      <c r="K14" s="52" t="inlineStr"/>
      <c r="L14" s="52" t="inlineStr"/>
      <c r="M14" s="53" t="inlineStr"/>
      <c r="N14" s="53" t="inlineStr"/>
      <c r="O14" s="22" t="inlineStr">
        <is>
          <t>QA &amp; Governance SOP v2.1</t>
        </is>
      </c>
      <c r="P14" s="12" t="inlineStr">
        <is>
          <t>No</t>
        </is>
      </c>
    </row>
    <row r="15" ht="22" customHeight="1">
      <c r="A15" s="25" t="inlineStr"/>
      <c r="B15" s="27" t="inlineStr">
        <is>
          <t>2</t>
        </is>
      </c>
      <c r="C15" s="7" t="inlineStr">
        <is>
          <t>Data Quality Checks</t>
        </is>
      </c>
      <c r="D15" s="29" t="inlineStr">
        <is>
          <t>Priyanshi</t>
        </is>
      </c>
      <c r="E15" s="9" t="inlineStr">
        <is>
          <t>DQ check output files, profiling reports</t>
        </is>
      </c>
      <c r="F15" s="50" t="inlineStr"/>
      <c r="G15" s="50" t="inlineStr"/>
      <c r="H15" s="12" t="inlineStr">
        <is>
          <t>Missing</t>
        </is>
      </c>
      <c r="I15" s="50" t="inlineStr"/>
      <c r="J15" s="51" t="inlineStr"/>
      <c r="K15" s="50" t="inlineStr"/>
      <c r="L15" s="50" t="inlineStr"/>
      <c r="M15" s="51" t="inlineStr"/>
      <c r="N15" s="51" t="inlineStr"/>
      <c r="O15" s="15" t="inlineStr">
        <is>
          <t>QA &amp; Governance SOP v2.1</t>
        </is>
      </c>
      <c r="P15" s="12" t="inlineStr">
        <is>
          <t>No</t>
        </is>
      </c>
    </row>
    <row r="16" ht="22" customHeight="1">
      <c r="A16" s="25" t="inlineStr"/>
      <c r="B16" s="27" t="inlineStr">
        <is>
          <t>3</t>
        </is>
      </c>
      <c r="C16" s="16" t="inlineStr">
        <is>
          <t>Reconciliation</t>
        </is>
      </c>
      <c r="D16" s="28" t="inlineStr">
        <is>
          <t>Priyanshi</t>
        </is>
      </c>
      <c r="E16" s="18" t="inlineStr">
        <is>
          <t>Reconciliation reports, variance logs</t>
        </is>
      </c>
      <c r="F16" s="52" t="inlineStr"/>
      <c r="G16" s="52" t="inlineStr"/>
      <c r="H16" s="12" t="inlineStr">
        <is>
          <t>Missing</t>
        </is>
      </c>
      <c r="I16" s="52" t="inlineStr"/>
      <c r="J16" s="53" t="inlineStr"/>
      <c r="K16" s="52" t="inlineStr"/>
      <c r="L16" s="52" t="inlineStr"/>
      <c r="M16" s="53" t="inlineStr"/>
      <c r="N16" s="53" t="inlineStr"/>
      <c r="O16" s="22" t="inlineStr">
        <is>
          <t>QA &amp; Governance SOP v2.1</t>
        </is>
      </c>
      <c r="P16" s="12" t="inlineStr">
        <is>
          <t>No</t>
        </is>
      </c>
    </row>
    <row r="17" ht="22" customHeight="1">
      <c r="A17" s="25" t="inlineStr"/>
      <c r="B17" s="27" t="inlineStr">
        <is>
          <t>4</t>
        </is>
      </c>
      <c r="C17" s="7" t="inlineStr">
        <is>
          <t>Reasonability Analysis</t>
        </is>
      </c>
      <c r="D17" s="29" t="inlineStr">
        <is>
          <t>Priyanshi</t>
        </is>
      </c>
      <c r="E17" s="9" t="inlineStr">
        <is>
          <t>Reasonability analysis report</t>
        </is>
      </c>
      <c r="F17" s="50" t="inlineStr"/>
      <c r="G17" s="50" t="inlineStr"/>
      <c r="H17" s="12" t="inlineStr">
        <is>
          <t>Missing</t>
        </is>
      </c>
      <c r="I17" s="50" t="inlineStr"/>
      <c r="J17" s="51" t="inlineStr"/>
      <c r="K17" s="50" t="inlineStr"/>
      <c r="L17" s="50" t="inlineStr"/>
      <c r="M17" s="51" t="inlineStr"/>
      <c r="N17" s="51" t="inlineStr"/>
      <c r="O17" s="15" t="inlineStr">
        <is>
          <t>QA &amp; Governance SOP v2.1</t>
        </is>
      </c>
      <c r="P17" s="12" t="inlineStr">
        <is>
          <t>No</t>
        </is>
      </c>
    </row>
    <row r="18" ht="22" customHeight="1">
      <c r="A18" s="25" t="inlineStr"/>
      <c r="B18" s="27" t="inlineStr">
        <is>
          <t>5</t>
        </is>
      </c>
      <c r="C18" s="16" t="inlineStr">
        <is>
          <t>Peer Review</t>
        </is>
      </c>
      <c r="D18" s="28" t="inlineStr">
        <is>
          <t>Sujai</t>
        </is>
      </c>
      <c r="E18" s="18" t="inlineStr">
        <is>
          <t>Peer review sign-off document</t>
        </is>
      </c>
      <c r="F18" s="52" t="inlineStr"/>
      <c r="G18" s="52" t="inlineStr"/>
      <c r="H18" s="12" t="inlineStr">
        <is>
          <t>Missing</t>
        </is>
      </c>
      <c r="I18" s="52" t="inlineStr"/>
      <c r="J18" s="53" t="inlineStr"/>
      <c r="K18" s="52" t="inlineStr"/>
      <c r="L18" s="52" t="inlineStr"/>
      <c r="M18" s="53" t="inlineStr"/>
      <c r="N18" s="53" t="inlineStr"/>
      <c r="O18" s="22" t="inlineStr">
        <is>
          <t>QA &amp; Governance SOP v2.1</t>
        </is>
      </c>
      <c r="P18" s="12" t="inlineStr">
        <is>
          <t>No</t>
        </is>
      </c>
    </row>
    <row r="19" ht="22" customHeight="1">
      <c r="A19" s="25" t="inlineStr"/>
      <c r="B19" s="27" t="inlineStr">
        <is>
          <t>6</t>
        </is>
      </c>
      <c r="C19" s="7" t="inlineStr">
        <is>
          <t>Output Verification</t>
        </is>
      </c>
      <c r="D19" s="29" t="inlineStr">
        <is>
          <t>Sujai</t>
        </is>
      </c>
      <c r="E19" s="9" t="inlineStr">
        <is>
          <t>Output verification report</t>
        </is>
      </c>
      <c r="F19" s="50" t="inlineStr"/>
      <c r="G19" s="50" t="inlineStr"/>
      <c r="H19" s="12" t="inlineStr">
        <is>
          <t>Missing</t>
        </is>
      </c>
      <c r="I19" s="50" t="inlineStr"/>
      <c r="J19" s="51" t="inlineStr"/>
      <c r="K19" s="50" t="inlineStr"/>
      <c r="L19" s="50" t="inlineStr"/>
      <c r="M19" s="51" t="inlineStr"/>
      <c r="N19" s="51" t="inlineStr"/>
      <c r="O19" s="15" t="inlineStr">
        <is>
          <t>Output Validation Document v1.1</t>
        </is>
      </c>
      <c r="P19" s="12" t="inlineStr">
        <is>
          <t>No</t>
        </is>
      </c>
    </row>
    <row r="20" ht="22" customHeight="1">
      <c r="A20" s="25" t="inlineStr"/>
      <c r="B20" s="27" t="inlineStr">
        <is>
          <t>7</t>
        </is>
      </c>
      <c r="C20" s="16" t="inlineStr">
        <is>
          <t>Issue Logging</t>
        </is>
      </c>
      <c r="D20" s="28" t="inlineStr">
        <is>
          <t>Sujai</t>
        </is>
      </c>
      <c r="E20" s="18" t="inlineStr">
        <is>
          <t>RAID log, Jira BLOCKED ticket</t>
        </is>
      </c>
      <c r="F20" s="52" t="inlineStr"/>
      <c r="G20" s="52" t="inlineStr"/>
      <c r="H20" s="12" t="inlineStr">
        <is>
          <t>Missing</t>
        </is>
      </c>
      <c r="I20" s="52" t="inlineStr"/>
      <c r="J20" s="53" t="inlineStr"/>
      <c r="K20" s="52" t="inlineStr"/>
      <c r="L20" s="52" t="inlineStr"/>
      <c r="M20" s="53" t="inlineStr"/>
      <c r="N20" s="53" t="inlineStr"/>
      <c r="O20" s="22" t="inlineStr">
        <is>
          <t>QA &amp; Governance SOP v2.1</t>
        </is>
      </c>
      <c r="P20" s="12" t="inlineStr">
        <is>
          <t>No</t>
        </is>
      </c>
    </row>
    <row r="21" ht="22" customHeight="1">
      <c r="A21" s="25" t="inlineStr"/>
      <c r="B21" s="27" t="inlineStr">
        <is>
          <t>8</t>
        </is>
      </c>
      <c r="C21" s="7" t="inlineStr">
        <is>
          <t>Sign-Off &amp; Approval</t>
        </is>
      </c>
      <c r="D21" s="29" t="inlineStr">
        <is>
          <t>Sujai</t>
        </is>
      </c>
      <c r="E21" s="9" t="inlineStr">
        <is>
          <t>Signed approval record</t>
        </is>
      </c>
      <c r="F21" s="50" t="inlineStr"/>
      <c r="G21" s="50" t="inlineStr"/>
      <c r="H21" s="12" t="inlineStr">
        <is>
          <t>Missing</t>
        </is>
      </c>
      <c r="I21" s="50" t="inlineStr"/>
      <c r="J21" s="51" t="inlineStr"/>
      <c r="K21" s="50" t="inlineStr"/>
      <c r="L21" s="50" t="inlineStr"/>
      <c r="M21" s="51" t="inlineStr"/>
      <c r="N21" s="51" t="inlineStr"/>
      <c r="O21" s="15" t="inlineStr">
        <is>
          <t>Approvals Document v1.1</t>
        </is>
      </c>
      <c r="P21" s="12" t="inlineStr">
        <is>
          <t>No</t>
        </is>
      </c>
    </row>
    <row r="22" ht="22" customHeight="1">
      <c r="A22" s="30" t="inlineStr">
        <is>
          <t>Data Sourcing &amp; Lineage</t>
        </is>
      </c>
      <c r="B22" s="32" t="inlineStr">
        <is>
          <t>1</t>
        </is>
      </c>
      <c r="C22" s="16" t="inlineStr">
        <is>
          <t>Source Identification</t>
        </is>
      </c>
      <c r="D22" s="33" t="inlineStr">
        <is>
          <t>Hua</t>
        </is>
      </c>
      <c r="E22" s="18" t="inlineStr">
        <is>
          <t>Master Data Source Sheet</t>
        </is>
      </c>
      <c r="F22" s="52" t="inlineStr"/>
      <c r="G22" s="52" t="inlineStr"/>
      <c r="H22" s="12" t="inlineStr">
        <is>
          <t>Missing</t>
        </is>
      </c>
      <c r="I22" s="52" t="inlineStr"/>
      <c r="J22" s="53" t="inlineStr"/>
      <c r="K22" s="52" t="inlineStr"/>
      <c r="L22" s="52" t="inlineStr"/>
      <c r="M22" s="53" t="inlineStr"/>
      <c r="N22" s="53" t="inlineStr"/>
      <c r="O22" s="22" t="inlineStr">
        <is>
          <t>Data Sourcing &amp; Lineage v1.0</t>
        </is>
      </c>
      <c r="P22" s="12" t="inlineStr">
        <is>
          <t>No</t>
        </is>
      </c>
    </row>
    <row r="23" ht="22" customHeight="1">
      <c r="A23" s="30" t="inlineStr"/>
      <c r="B23" s="32" t="inlineStr">
        <is>
          <t>2</t>
        </is>
      </c>
      <c r="C23" s="7" t="inlineStr">
        <is>
          <t>Access Enablement</t>
        </is>
      </c>
      <c r="D23" s="34" t="inlineStr">
        <is>
          <t>Hua</t>
        </is>
      </c>
      <c r="E23" s="9" t="inlineStr">
        <is>
          <t>PIA records, access approval log</t>
        </is>
      </c>
      <c r="F23" s="50" t="inlineStr"/>
      <c r="G23" s="50" t="inlineStr"/>
      <c r="H23" s="12" t="inlineStr">
        <is>
          <t>Missing</t>
        </is>
      </c>
      <c r="I23" s="50" t="inlineStr"/>
      <c r="J23" s="51" t="inlineStr"/>
      <c r="K23" s="50" t="inlineStr"/>
      <c r="L23" s="50" t="inlineStr"/>
      <c r="M23" s="51" t="inlineStr"/>
      <c r="N23" s="51" t="inlineStr"/>
      <c r="O23" s="15" t="inlineStr">
        <is>
          <t>Data Sourcing &amp; Lineage v1.0</t>
        </is>
      </c>
      <c r="P23" s="12" t="inlineStr">
        <is>
          <t>No</t>
        </is>
      </c>
    </row>
    <row r="24" ht="22" customHeight="1">
      <c r="A24" s="30" t="inlineStr"/>
      <c r="B24" s="32" t="inlineStr">
        <is>
          <t>3</t>
        </is>
      </c>
      <c r="C24" s="16" t="inlineStr">
        <is>
          <t>Data Extraction</t>
        </is>
      </c>
      <c r="D24" s="33" t="inlineStr">
        <is>
          <t>Hua</t>
        </is>
      </c>
      <c r="E24" s="18" t="inlineStr">
        <is>
          <t>Extracted files, extraction scripts</t>
        </is>
      </c>
      <c r="F24" s="52" t="inlineStr"/>
      <c r="G24" s="52" t="inlineStr"/>
      <c r="H24" s="12" t="inlineStr">
        <is>
          <t>Missing</t>
        </is>
      </c>
      <c r="I24" s="52" t="inlineStr"/>
      <c r="J24" s="53" t="inlineStr"/>
      <c r="K24" s="52" t="inlineStr"/>
      <c r="L24" s="52" t="inlineStr"/>
      <c r="M24" s="53" t="inlineStr"/>
      <c r="N24" s="53" t="inlineStr"/>
      <c r="O24" s="22" t="inlineStr">
        <is>
          <t>Data Sourcing &amp; Lineage v1.0</t>
        </is>
      </c>
      <c r="P24" s="12" t="inlineStr">
        <is>
          <t>No</t>
        </is>
      </c>
    </row>
    <row r="25" ht="22" customHeight="1">
      <c r="A25" s="30" t="inlineStr"/>
      <c r="B25" s="32" t="inlineStr">
        <is>
          <t>4</t>
        </is>
      </c>
      <c r="C25" s="7" t="inlineStr">
        <is>
          <t>Data Understanding</t>
        </is>
      </c>
      <c r="D25" s="34" t="inlineStr">
        <is>
          <t>Subham</t>
        </is>
      </c>
      <c r="E25" s="9" t="inlineStr">
        <is>
          <t>Data profiling reports, data dictionary</t>
        </is>
      </c>
      <c r="F25" s="50" t="inlineStr"/>
      <c r="G25" s="50" t="inlineStr"/>
      <c r="H25" s="12" t="inlineStr">
        <is>
          <t>Missing</t>
        </is>
      </c>
      <c r="I25" s="50" t="inlineStr"/>
      <c r="J25" s="51" t="inlineStr"/>
      <c r="K25" s="50" t="inlineStr"/>
      <c r="L25" s="50" t="inlineStr"/>
      <c r="M25" s="51" t="inlineStr"/>
      <c r="N25" s="51" t="inlineStr"/>
      <c r="O25" s="15" t="inlineStr">
        <is>
          <t>Data Sourcing &amp; Lineage v1.0</t>
        </is>
      </c>
      <c r="P25" s="12" t="inlineStr">
        <is>
          <t>No</t>
        </is>
      </c>
    </row>
    <row r="26" ht="22" customHeight="1">
      <c r="A26" s="30" t="inlineStr"/>
      <c r="B26" s="32" t="inlineStr">
        <is>
          <t>5</t>
        </is>
      </c>
      <c r="C26" s="16" t="inlineStr">
        <is>
          <t>Lineage Documentation</t>
        </is>
      </c>
      <c r="D26" s="33" t="inlineStr">
        <is>
          <t>Subham</t>
        </is>
      </c>
      <c r="E26" s="18" t="inlineStr">
        <is>
          <t>Lineage diagrams, transformation logic doc</t>
        </is>
      </c>
      <c r="F26" s="52" t="inlineStr"/>
      <c r="G26" s="52" t="inlineStr"/>
      <c r="H26" s="12" t="inlineStr">
        <is>
          <t>Missing</t>
        </is>
      </c>
      <c r="I26" s="52" t="inlineStr"/>
      <c r="J26" s="53" t="inlineStr"/>
      <c r="K26" s="52" t="inlineStr"/>
      <c r="L26" s="52" t="inlineStr"/>
      <c r="M26" s="53" t="inlineStr"/>
      <c r="N26" s="53" t="inlineStr"/>
      <c r="O26" s="22" t="inlineStr">
        <is>
          <t>Data Sourcing &amp; Lineage v1.0</t>
        </is>
      </c>
      <c r="P26" s="12" t="inlineStr">
        <is>
          <t>No</t>
        </is>
      </c>
    </row>
    <row r="27" ht="22" customHeight="1">
      <c r="A27" s="30" t="inlineStr"/>
      <c r="B27" s="32" t="inlineStr">
        <is>
          <t>6</t>
        </is>
      </c>
      <c r="C27" s="7" t="inlineStr">
        <is>
          <t>Refresh Management</t>
        </is>
      </c>
      <c r="D27" s="34" t="inlineStr">
        <is>
          <t>Raghul</t>
        </is>
      </c>
      <c r="E27" s="9" t="inlineStr">
        <is>
          <t>Refresh activity log, refresh validation report</t>
        </is>
      </c>
      <c r="F27" s="50" t="inlineStr"/>
      <c r="G27" s="50" t="inlineStr"/>
      <c r="H27" s="12" t="inlineStr">
        <is>
          <t>Missing</t>
        </is>
      </c>
      <c r="I27" s="50" t="inlineStr"/>
      <c r="J27" s="51" t="inlineStr"/>
      <c r="K27" s="50" t="inlineStr"/>
      <c r="L27" s="50" t="inlineStr"/>
      <c r="M27" s="51" t="inlineStr"/>
      <c r="N27" s="51" t="inlineStr"/>
      <c r="O27" s="15" t="inlineStr">
        <is>
          <t>Data Sourcing &amp; Lineage v1.0</t>
        </is>
      </c>
      <c r="P27" s="12" t="inlineStr">
        <is>
          <t>No</t>
        </is>
      </c>
    </row>
    <row r="28" ht="22" customHeight="1">
      <c r="A28" s="30" t="inlineStr"/>
      <c r="B28" s="32" t="inlineStr">
        <is>
          <t>7</t>
        </is>
      </c>
      <c r="C28" s="16" t="inlineStr">
        <is>
          <t>Data Retention</t>
        </is>
      </c>
      <c r="D28" s="33" t="inlineStr">
        <is>
          <t>Raghul</t>
        </is>
      </c>
      <c r="E28" s="18" t="inlineStr">
        <is>
          <t>Data retention statement</t>
        </is>
      </c>
      <c r="F28" s="52" t="inlineStr"/>
      <c r="G28" s="52" t="inlineStr"/>
      <c r="H28" s="12" t="inlineStr">
        <is>
          <t>Missing</t>
        </is>
      </c>
      <c r="I28" s="52" t="inlineStr"/>
      <c r="J28" s="53" t="inlineStr"/>
      <c r="K28" s="52" t="inlineStr"/>
      <c r="L28" s="52" t="inlineStr"/>
      <c r="M28" s="53" t="inlineStr"/>
      <c r="N28" s="53" t="inlineStr"/>
      <c r="O28" s="22" t="inlineStr">
        <is>
          <t>Data Sourcing &amp; Lineage v1.0</t>
        </is>
      </c>
      <c r="P28" s="12" t="inlineStr">
        <is>
          <t>No</t>
        </is>
      </c>
    </row>
    <row r="29" ht="22" customHeight="1">
      <c r="A29" s="35" t="inlineStr">
        <is>
          <t>Governance &amp; Issue Management</t>
        </is>
      </c>
      <c r="B29" s="37" t="inlineStr">
        <is>
          <t>1</t>
        </is>
      </c>
      <c r="C29" s="7" t="inlineStr">
        <is>
          <t>Decision Logging</t>
        </is>
      </c>
      <c r="D29" s="38" t="inlineStr">
        <is>
          <t>Patty</t>
        </is>
      </c>
      <c r="E29" s="9" t="inlineStr">
        <is>
          <t>Jira decision tickets</t>
        </is>
      </c>
      <c r="F29" s="50" t="inlineStr"/>
      <c r="G29" s="50" t="inlineStr"/>
      <c r="H29" s="12" t="inlineStr">
        <is>
          <t>Missing</t>
        </is>
      </c>
      <c r="I29" s="50" t="inlineStr"/>
      <c r="J29" s="51" t="inlineStr"/>
      <c r="K29" s="50" t="inlineStr"/>
      <c r="L29" s="50" t="inlineStr"/>
      <c r="M29" s="51" t="inlineStr"/>
      <c r="N29" s="51" t="inlineStr"/>
      <c r="O29" s="15" t="inlineStr">
        <is>
          <t>QA &amp; Governance SOP v2.1</t>
        </is>
      </c>
      <c r="P29" s="12" t="inlineStr">
        <is>
          <t>No</t>
        </is>
      </c>
    </row>
    <row r="30" ht="22" customHeight="1">
      <c r="A30" s="35" t="inlineStr"/>
      <c r="B30" s="37" t="inlineStr">
        <is>
          <t>2</t>
        </is>
      </c>
      <c r="C30" s="16" t="inlineStr">
        <is>
          <t>Assumption Tracking</t>
        </is>
      </c>
      <c r="D30" s="39" t="inlineStr">
        <is>
          <t>Patty</t>
        </is>
      </c>
      <c r="E30" s="18" t="inlineStr">
        <is>
          <t>Jira assumption tickets</t>
        </is>
      </c>
      <c r="F30" s="52" t="inlineStr"/>
      <c r="G30" s="52" t="inlineStr"/>
      <c r="H30" s="12" t="inlineStr">
        <is>
          <t>Missing</t>
        </is>
      </c>
      <c r="I30" s="52" t="inlineStr"/>
      <c r="J30" s="53" t="inlineStr"/>
      <c r="K30" s="52" t="inlineStr"/>
      <c r="L30" s="52" t="inlineStr"/>
      <c r="M30" s="53" t="inlineStr"/>
      <c r="N30" s="53" t="inlineStr"/>
      <c r="O30" s="22" t="inlineStr">
        <is>
          <t>QA &amp; Governance SOP v2.1</t>
        </is>
      </c>
      <c r="P30" s="12" t="inlineStr">
        <is>
          <t>No</t>
        </is>
      </c>
    </row>
    <row r="31" ht="22" customHeight="1">
      <c r="A31" s="35" t="inlineStr"/>
      <c r="B31" s="37" t="inlineStr">
        <is>
          <t>3</t>
        </is>
      </c>
      <c r="C31" s="7" t="inlineStr">
        <is>
          <t>Issue Logging</t>
        </is>
      </c>
      <c r="D31" s="38" t="inlineStr">
        <is>
          <t>Patty</t>
        </is>
      </c>
      <c r="E31" s="9" t="inlineStr">
        <is>
          <t>RAID log, Jira BLOCKED ticket</t>
        </is>
      </c>
      <c r="F31" s="50" t="inlineStr"/>
      <c r="G31" s="50" t="inlineStr"/>
      <c r="H31" s="12" t="inlineStr">
        <is>
          <t>Missing</t>
        </is>
      </c>
      <c r="I31" s="50" t="inlineStr"/>
      <c r="J31" s="51" t="inlineStr"/>
      <c r="K31" s="50" t="inlineStr"/>
      <c r="L31" s="50" t="inlineStr"/>
      <c r="M31" s="51" t="inlineStr"/>
      <c r="N31" s="51" t="inlineStr"/>
      <c r="O31" s="15" t="inlineStr">
        <is>
          <t>QA &amp; Governance SOP v2.1</t>
        </is>
      </c>
      <c r="P31" s="12" t="inlineStr">
        <is>
          <t>No</t>
        </is>
      </c>
    </row>
    <row r="32" ht="22" customHeight="1">
      <c r="A32" s="35" t="inlineStr"/>
      <c r="B32" s="37" t="inlineStr">
        <is>
          <t>4</t>
        </is>
      </c>
      <c r="C32" s="16" t="inlineStr">
        <is>
          <t>Severity Assessment</t>
        </is>
      </c>
      <c r="D32" s="39" t="inlineStr">
        <is>
          <t>Patty</t>
        </is>
      </c>
      <c r="E32" s="18" t="inlineStr">
        <is>
          <t>RAID log with severity classification</t>
        </is>
      </c>
      <c r="F32" s="52" t="inlineStr"/>
      <c r="G32" s="52" t="inlineStr"/>
      <c r="H32" s="12" t="inlineStr">
        <is>
          <t>Missing</t>
        </is>
      </c>
      <c r="I32" s="52" t="inlineStr"/>
      <c r="J32" s="53" t="inlineStr"/>
      <c r="K32" s="52" t="inlineStr"/>
      <c r="L32" s="52" t="inlineStr"/>
      <c r="M32" s="53" t="inlineStr"/>
      <c r="N32" s="53" t="inlineStr"/>
      <c r="O32" s="22" t="inlineStr">
        <is>
          <t>QA &amp; Governance SOP v2.1</t>
        </is>
      </c>
      <c r="P32" s="12" t="inlineStr">
        <is>
          <t>No</t>
        </is>
      </c>
    </row>
    <row r="33" ht="22" customHeight="1">
      <c r="A33" s="35" t="inlineStr"/>
      <c r="B33" s="37" t="inlineStr">
        <is>
          <t>5</t>
        </is>
      </c>
      <c r="C33" s="7" t="inlineStr">
        <is>
          <t>Escalation Pathways</t>
        </is>
      </c>
      <c r="D33" s="38" t="inlineStr">
        <is>
          <t>Tom</t>
        </is>
      </c>
      <c r="E33" s="9" t="inlineStr">
        <is>
          <t>Jira escalation comments, email records</t>
        </is>
      </c>
      <c r="F33" s="50" t="inlineStr"/>
      <c r="G33" s="50" t="inlineStr"/>
      <c r="H33" s="12" t="inlineStr">
        <is>
          <t>Missing</t>
        </is>
      </c>
      <c r="I33" s="50" t="inlineStr"/>
      <c r="J33" s="51" t="inlineStr"/>
      <c r="K33" s="50" t="inlineStr"/>
      <c r="L33" s="50" t="inlineStr"/>
      <c r="M33" s="51" t="inlineStr"/>
      <c r="N33" s="51" t="inlineStr"/>
      <c r="O33" s="15" t="inlineStr">
        <is>
          <t>QA &amp; Governance SOP v2.1</t>
        </is>
      </c>
      <c r="P33" s="12" t="inlineStr">
        <is>
          <t>No</t>
        </is>
      </c>
    </row>
    <row r="34" ht="22" customHeight="1">
      <c r="A34" s="35" t="inlineStr"/>
      <c r="B34" s="37" t="inlineStr">
        <is>
          <t>6</t>
        </is>
      </c>
      <c r="C34" s="16" t="inlineStr">
        <is>
          <t>Resolution &amp; Unblocking</t>
        </is>
      </c>
      <c r="D34" s="39" t="inlineStr">
        <is>
          <t>Tom</t>
        </is>
      </c>
      <c r="E34" s="18" t="inlineStr">
        <is>
          <t>RAID log closure, Jira state history</t>
        </is>
      </c>
      <c r="F34" s="52" t="inlineStr"/>
      <c r="G34" s="52" t="inlineStr"/>
      <c r="H34" s="12" t="inlineStr">
        <is>
          <t>Missing</t>
        </is>
      </c>
      <c r="I34" s="52" t="inlineStr"/>
      <c r="J34" s="53" t="inlineStr"/>
      <c r="K34" s="52" t="inlineStr"/>
      <c r="L34" s="52" t="inlineStr"/>
      <c r="M34" s="53" t="inlineStr"/>
      <c r="N34" s="53" t="inlineStr"/>
      <c r="O34" s="22" t="inlineStr">
        <is>
          <t>QA &amp; Governance SOP v2.1</t>
        </is>
      </c>
      <c r="P34" s="12" t="inlineStr">
        <is>
          <t>No</t>
        </is>
      </c>
    </row>
    <row r="35" ht="22" customHeight="1">
      <c r="A35" s="35" t="inlineStr"/>
      <c r="B35" s="37" t="inlineStr">
        <is>
          <t>7</t>
        </is>
      </c>
      <c r="C35" s="7" t="inlineStr">
        <is>
          <t>Risk Acceptance</t>
        </is>
      </c>
      <c r="D35" s="38" t="inlineStr">
        <is>
          <t>Tom</t>
        </is>
      </c>
      <c r="E35" s="9" t="inlineStr">
        <is>
          <t>Risk acceptance document, Jira state</t>
        </is>
      </c>
      <c r="F35" s="50" t="inlineStr"/>
      <c r="G35" s="50" t="inlineStr"/>
      <c r="H35" s="12" t="inlineStr">
        <is>
          <t>Missing</t>
        </is>
      </c>
      <c r="I35" s="50" t="inlineStr"/>
      <c r="J35" s="51" t="inlineStr"/>
      <c r="K35" s="50" t="inlineStr"/>
      <c r="L35" s="50" t="inlineStr"/>
      <c r="M35" s="51" t="inlineStr"/>
      <c r="N35" s="51" t="inlineStr"/>
      <c r="O35" s="15" t="inlineStr">
        <is>
          <t>QA &amp; Governance SOP v2.1</t>
        </is>
      </c>
      <c r="P35" s="12" t="inlineStr">
        <is>
          <t>No</t>
        </is>
      </c>
    </row>
    <row r="36" ht="22" customHeight="1">
      <c r="A36" s="35" t="inlineStr"/>
      <c r="B36" s="37" t="inlineStr">
        <is>
          <t>8</t>
        </is>
      </c>
      <c r="C36" s="16" t="inlineStr">
        <is>
          <t>Decommissioning</t>
        </is>
      </c>
      <c r="D36" s="39" t="inlineStr">
        <is>
          <t>Tom</t>
        </is>
      </c>
      <c r="E36" s="18" t="inlineStr">
        <is>
          <t>Jira state transition, SOW change log</t>
        </is>
      </c>
      <c r="F36" s="52" t="inlineStr"/>
      <c r="G36" s="52" t="inlineStr"/>
      <c r="H36" s="12" t="inlineStr">
        <is>
          <t>Missing</t>
        </is>
      </c>
      <c r="I36" s="52" t="inlineStr"/>
      <c r="J36" s="53" t="inlineStr"/>
      <c r="K36" s="52" t="inlineStr"/>
      <c r="L36" s="52" t="inlineStr"/>
      <c r="M36" s="53" t="inlineStr"/>
      <c r="N36" s="53" t="inlineStr"/>
      <c r="O36" s="22" t="inlineStr">
        <is>
          <t>QA &amp; Governance SOP v2.1</t>
        </is>
      </c>
      <c r="P36" s="12" t="inlineStr">
        <is>
          <t>No</t>
        </is>
      </c>
    </row>
    <row r="37" ht="22" customHeight="1">
      <c r="A37" s="40" t="inlineStr">
        <is>
          <t>Access Control &amp; Security</t>
        </is>
      </c>
      <c r="B37" s="42" t="inlineStr">
        <is>
          <t>1</t>
        </is>
      </c>
      <c r="C37" s="7" t="inlineStr">
        <is>
          <t>PIA Initiation</t>
        </is>
      </c>
      <c r="D37" s="43" t="inlineStr">
        <is>
          <t>Hua</t>
        </is>
      </c>
      <c r="E37" s="9" t="inlineStr">
        <is>
          <t>PIA documentation</t>
        </is>
      </c>
      <c r="F37" s="50" t="inlineStr"/>
      <c r="G37" s="50" t="inlineStr"/>
      <c r="H37" s="12" t="inlineStr">
        <is>
          <t>Missing</t>
        </is>
      </c>
      <c r="I37" s="50" t="inlineStr"/>
      <c r="J37" s="51" t="inlineStr"/>
      <c r="K37" s="50" t="inlineStr"/>
      <c r="L37" s="50" t="inlineStr"/>
      <c r="M37" s="51" t="inlineStr"/>
      <c r="N37" s="51" t="inlineStr"/>
      <c r="O37" s="15" t="inlineStr">
        <is>
          <t>Access Control SOP</t>
        </is>
      </c>
      <c r="P37" s="12" t="inlineStr">
        <is>
          <t>No</t>
        </is>
      </c>
    </row>
    <row r="38" ht="22" customHeight="1">
      <c r="A38" s="40" t="inlineStr"/>
      <c r="B38" s="42" t="inlineStr">
        <is>
          <t>2</t>
        </is>
      </c>
      <c r="C38" s="16" t="inlineStr">
        <is>
          <t>Access Request &amp; Approval</t>
        </is>
      </c>
      <c r="D38" s="44" t="inlineStr">
        <is>
          <t>Hua</t>
        </is>
      </c>
      <c r="E38" s="18" t="inlineStr">
        <is>
          <t>Access request forms, approval records</t>
        </is>
      </c>
      <c r="F38" s="52" t="inlineStr"/>
      <c r="G38" s="52" t="inlineStr"/>
      <c r="H38" s="12" t="inlineStr">
        <is>
          <t>Missing</t>
        </is>
      </c>
      <c r="I38" s="52" t="inlineStr"/>
      <c r="J38" s="53" t="inlineStr"/>
      <c r="K38" s="52" t="inlineStr"/>
      <c r="L38" s="52" t="inlineStr"/>
      <c r="M38" s="53" t="inlineStr"/>
      <c r="N38" s="53" t="inlineStr"/>
      <c r="O38" s="22" t="inlineStr">
        <is>
          <t>Access Control SOP</t>
        </is>
      </c>
      <c r="P38" s="12" t="inlineStr">
        <is>
          <t>No</t>
        </is>
      </c>
    </row>
    <row r="39" ht="22" customHeight="1">
      <c r="A39" s="40" t="inlineStr"/>
      <c r="B39" s="42" t="inlineStr">
        <is>
          <t>3</t>
        </is>
      </c>
      <c r="C39" s="7" t="inlineStr">
        <is>
          <t>Access Control Matrix</t>
        </is>
      </c>
      <c r="D39" s="43" t="inlineStr">
        <is>
          <t>TBD</t>
        </is>
      </c>
      <c r="E39" s="9" t="inlineStr">
        <is>
          <t>Access control matrix</t>
        </is>
      </c>
      <c r="F39" s="50" t="inlineStr"/>
      <c r="G39" s="50" t="inlineStr"/>
      <c r="H39" s="12" t="inlineStr">
        <is>
          <t>Missing</t>
        </is>
      </c>
      <c r="I39" s="50" t="inlineStr"/>
      <c r="J39" s="51" t="inlineStr"/>
      <c r="K39" s="50" t="inlineStr"/>
      <c r="L39" s="50" t="inlineStr"/>
      <c r="M39" s="51" t="inlineStr"/>
      <c r="N39" s="51" t="inlineStr"/>
      <c r="O39" s="15" t="inlineStr">
        <is>
          <t>Access Control SOP</t>
        </is>
      </c>
      <c r="P39" s="12" t="inlineStr">
        <is>
          <t>No</t>
        </is>
      </c>
    </row>
    <row r="40" ht="22" customHeight="1">
      <c r="A40" s="40" t="inlineStr"/>
      <c r="B40" s="42" t="inlineStr">
        <is>
          <t>4</t>
        </is>
      </c>
      <c r="C40" s="16" t="inlineStr">
        <is>
          <t>DEV vs PROD Separation</t>
        </is>
      </c>
      <c r="D40" s="44" t="inlineStr">
        <is>
          <t>TBD</t>
        </is>
      </c>
      <c r="E40" s="18" t="inlineStr">
        <is>
          <t>Environment separation documentation</t>
        </is>
      </c>
      <c r="F40" s="52" t="inlineStr"/>
      <c r="G40" s="52" t="inlineStr"/>
      <c r="H40" s="12" t="inlineStr">
        <is>
          <t>Missing</t>
        </is>
      </c>
      <c r="I40" s="52" t="inlineStr"/>
      <c r="J40" s="53" t="inlineStr"/>
      <c r="K40" s="52" t="inlineStr"/>
      <c r="L40" s="52" t="inlineStr"/>
      <c r="M40" s="53" t="inlineStr"/>
      <c r="N40" s="53" t="inlineStr"/>
      <c r="O40" s="22" t="inlineStr">
        <is>
          <t>Access Control SOP</t>
        </is>
      </c>
      <c r="P40" s="12" t="inlineStr">
        <is>
          <t>No</t>
        </is>
      </c>
    </row>
    <row r="41" ht="22" customHeight="1">
      <c r="A41" s="40" t="inlineStr"/>
      <c r="B41" s="42" t="inlineStr">
        <is>
          <t>5</t>
        </is>
      </c>
      <c r="C41" s="7" t="inlineStr">
        <is>
          <t>Periodic Access Review</t>
        </is>
      </c>
      <c r="D41" s="43" t="inlineStr">
        <is>
          <t>TBD</t>
        </is>
      </c>
      <c r="E41" s="9" t="inlineStr">
        <is>
          <t>Access review log</t>
        </is>
      </c>
      <c r="F41" s="50" t="inlineStr"/>
      <c r="G41" s="50" t="inlineStr"/>
      <c r="H41" s="12" t="inlineStr">
        <is>
          <t>Missing</t>
        </is>
      </c>
      <c r="I41" s="50" t="inlineStr"/>
      <c r="J41" s="51" t="inlineStr"/>
      <c r="K41" s="50" t="inlineStr"/>
      <c r="L41" s="50" t="inlineStr"/>
      <c r="M41" s="51" t="inlineStr"/>
      <c r="N41" s="51" t="inlineStr"/>
      <c r="O41" s="15" t="inlineStr">
        <is>
          <t>Access Control SOP</t>
        </is>
      </c>
      <c r="P41" s="12" t="inlineStr">
        <is>
          <t>No</t>
        </is>
      </c>
    </row>
    <row r="42" ht="22" customHeight="1">
      <c r="A42" s="45" t="inlineStr">
        <is>
          <t>Change Management</t>
        </is>
      </c>
      <c r="B42" s="47" t="inlineStr">
        <is>
          <t>1</t>
        </is>
      </c>
      <c r="C42" s="16" t="inlineStr">
        <is>
          <t>Change Request</t>
        </is>
      </c>
      <c r="D42" s="48" t="inlineStr">
        <is>
          <t>TBD</t>
        </is>
      </c>
      <c r="E42" s="18" t="inlineStr">
        <is>
          <t>Jira change ticket</t>
        </is>
      </c>
      <c r="F42" s="52" t="inlineStr"/>
      <c r="G42" s="52" t="inlineStr"/>
      <c r="H42" s="12" t="inlineStr">
        <is>
          <t>Missing</t>
        </is>
      </c>
      <c r="I42" s="52" t="inlineStr"/>
      <c r="J42" s="53" t="inlineStr"/>
      <c r="K42" s="52" t="inlineStr"/>
      <c r="L42" s="52" t="inlineStr"/>
      <c r="M42" s="53" t="inlineStr"/>
      <c r="N42" s="53" t="inlineStr"/>
      <c r="O42" s="22" t="inlineStr">
        <is>
          <t>Change Management SOP</t>
        </is>
      </c>
      <c r="P42" s="12" t="inlineStr">
        <is>
          <t>No</t>
        </is>
      </c>
    </row>
    <row r="43" ht="22" customHeight="1">
      <c r="A43" s="45" t="inlineStr"/>
      <c r="B43" s="47" t="inlineStr">
        <is>
          <t>2</t>
        </is>
      </c>
      <c r="C43" s="7" t="inlineStr">
        <is>
          <t>Impact Assessment</t>
        </is>
      </c>
      <c r="D43" s="49" t="inlineStr">
        <is>
          <t>TBD</t>
        </is>
      </c>
      <c r="E43" s="9" t="inlineStr">
        <is>
          <t>Jira ticket impact notes</t>
        </is>
      </c>
      <c r="F43" s="50" t="inlineStr"/>
      <c r="G43" s="50" t="inlineStr"/>
      <c r="H43" s="12" t="inlineStr">
        <is>
          <t>Missing</t>
        </is>
      </c>
      <c r="I43" s="50" t="inlineStr"/>
      <c r="J43" s="51" t="inlineStr"/>
      <c r="K43" s="50" t="inlineStr"/>
      <c r="L43" s="50" t="inlineStr"/>
      <c r="M43" s="51" t="inlineStr"/>
      <c r="N43" s="51" t="inlineStr"/>
      <c r="O43" s="15" t="inlineStr">
        <is>
          <t>Change Management SOP</t>
        </is>
      </c>
      <c r="P43" s="12" t="inlineStr">
        <is>
          <t>No</t>
        </is>
      </c>
    </row>
    <row r="44" ht="22" customHeight="1">
      <c r="A44" s="45" t="inlineStr"/>
      <c r="B44" s="47" t="inlineStr">
        <is>
          <t>3</t>
        </is>
      </c>
      <c r="C44" s="16" t="inlineStr">
        <is>
          <t>Change Approval</t>
        </is>
      </c>
      <c r="D44" s="48" t="inlineStr">
        <is>
          <t>TBD</t>
        </is>
      </c>
      <c r="E44" s="18" t="inlineStr">
        <is>
          <t>Jira approval record</t>
        </is>
      </c>
      <c r="F44" s="52" t="inlineStr"/>
      <c r="G44" s="52" t="inlineStr"/>
      <c r="H44" s="12" t="inlineStr">
        <is>
          <t>Missing</t>
        </is>
      </c>
      <c r="I44" s="52" t="inlineStr"/>
      <c r="J44" s="53" t="inlineStr"/>
      <c r="K44" s="52" t="inlineStr"/>
      <c r="L44" s="52" t="inlineStr"/>
      <c r="M44" s="53" t="inlineStr"/>
      <c r="N44" s="53" t="inlineStr"/>
      <c r="O44" s="22" t="inlineStr">
        <is>
          <t>Change Management SOP</t>
        </is>
      </c>
      <c r="P44" s="12" t="inlineStr">
        <is>
          <t>No</t>
        </is>
      </c>
    </row>
    <row r="45" ht="22" customHeight="1">
      <c r="A45" s="45" t="inlineStr"/>
      <c r="B45" s="47" t="inlineStr">
        <is>
          <t>4</t>
        </is>
      </c>
      <c r="C45" s="7" t="inlineStr">
        <is>
          <t>Version Control</t>
        </is>
      </c>
      <c r="D45" s="49" t="inlineStr">
        <is>
          <t>TBD</t>
        </is>
      </c>
      <c r="E45" s="9" t="inlineStr">
        <is>
          <t>Git commit history</t>
        </is>
      </c>
      <c r="F45" s="50" t="inlineStr"/>
      <c r="G45" s="50" t="inlineStr"/>
      <c r="H45" s="12" t="inlineStr">
        <is>
          <t>Missing</t>
        </is>
      </c>
      <c r="I45" s="50" t="inlineStr"/>
      <c r="J45" s="51" t="inlineStr"/>
      <c r="K45" s="50" t="inlineStr"/>
      <c r="L45" s="50" t="inlineStr"/>
      <c r="M45" s="51" t="inlineStr"/>
      <c r="N45" s="51" t="inlineStr"/>
      <c r="O45" s="15" t="inlineStr">
        <is>
          <t>Change Management SOP</t>
        </is>
      </c>
      <c r="P45" s="12" t="inlineStr">
        <is>
          <t>No</t>
        </is>
      </c>
    </row>
    <row r="46" ht="22" customHeight="1">
      <c r="A46" s="45" t="inlineStr"/>
      <c r="B46" s="47" t="inlineStr">
        <is>
          <t>5</t>
        </is>
      </c>
      <c r="C46" s="16" t="inlineStr">
        <is>
          <t>Deployment &amp; Rollback</t>
        </is>
      </c>
      <c r="D46" s="48" t="inlineStr">
        <is>
          <t>TBD</t>
        </is>
      </c>
      <c r="E46" s="18" t="inlineStr">
        <is>
          <t>Deployment log, rollback doc</t>
        </is>
      </c>
      <c r="F46" s="52" t="inlineStr"/>
      <c r="G46" s="52" t="inlineStr"/>
      <c r="H46" s="12" t="inlineStr">
        <is>
          <t>Missing</t>
        </is>
      </c>
      <c r="I46" s="52" t="inlineStr"/>
      <c r="J46" s="53" t="inlineStr"/>
      <c r="K46" s="52" t="inlineStr"/>
      <c r="L46" s="52" t="inlineStr"/>
      <c r="M46" s="53" t="inlineStr"/>
      <c r="N46" s="53" t="inlineStr"/>
      <c r="O46" s="22" t="inlineStr">
        <is>
          <t>Change Management SOP</t>
        </is>
      </c>
      <c r="P46" s="12" t="inlineStr">
        <is>
          <t>No</t>
        </is>
      </c>
    </row>
    <row r="47" ht="22" customHeight="1">
      <c r="A47" s="45" t="inlineStr"/>
      <c r="B47" s="47" t="inlineStr">
        <is>
          <t>6</t>
        </is>
      </c>
      <c r="C47" s="7" t="inlineStr">
        <is>
          <t>Scope Change Logging</t>
        </is>
      </c>
      <c r="D47" s="49" t="inlineStr">
        <is>
          <t>Richard Ng</t>
        </is>
      </c>
      <c r="E47" s="9" t="inlineStr">
        <is>
          <t>SOW change log</t>
        </is>
      </c>
      <c r="F47" s="50" t="inlineStr"/>
      <c r="G47" s="50" t="inlineStr"/>
      <c r="H47" s="12" t="inlineStr">
        <is>
          <t>Missing</t>
        </is>
      </c>
      <c r="I47" s="50" t="inlineStr"/>
      <c r="J47" s="51" t="inlineStr"/>
      <c r="K47" s="50" t="inlineStr"/>
      <c r="L47" s="50" t="inlineStr"/>
      <c r="M47" s="51" t="inlineStr"/>
      <c r="N47" s="51" t="inlineStr"/>
      <c r="O47" s="15" t="inlineStr">
        <is>
          <t>Change Management SOP</t>
        </is>
      </c>
      <c r="P47" s="12" t="inlineStr">
        <is>
          <t>No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1" type="list">
      <formula1>"Exists,Partial,Missing,N/A"</formula1>
    </dataValidation>
    <dataValidation sqref="M5:M200" showDropDown="0" showInputMessage="0" showErrorMessage="0" allowBlank="1" type="list">
      <formula1>"High,Medium,Low"</formula1>
    </dataValidation>
    <dataValidation sqref="P5:P200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54" t="inlineStr">
        <is>
          <t>Evidence Tracker — Summary Dashboard</t>
        </is>
      </c>
    </row>
    <row r="2" ht="14" customHeight="1">
      <c r="A2" s="2" t="inlineStr">
        <is>
          <t>Auto-updates as you fill in Status column in the Evidence Tracker sheet</t>
        </is>
      </c>
    </row>
    <row r="3" ht="8" customHeight="1"/>
    <row r="4" ht="28" customHeight="1">
      <c r="A4" s="55" t="inlineStr">
        <is>
          <t>Process Area</t>
        </is>
      </c>
      <c r="B4" s="55" t="inlineStr">
        <is>
          <t>Total Steps</t>
        </is>
      </c>
      <c r="C4" s="55" t="inlineStr">
        <is>
          <t>Exists</t>
        </is>
      </c>
      <c r="D4" s="55" t="inlineStr">
        <is>
          <t>Partial</t>
        </is>
      </c>
      <c r="E4" s="55" t="inlineStr">
        <is>
          <t>Missing</t>
        </is>
      </c>
      <c r="F4" s="55" t="inlineStr">
        <is>
          <t>% Complete</t>
        </is>
      </c>
    </row>
    <row r="5" ht="22" customHeight="1">
      <c r="A5" s="56" t="inlineStr">
        <is>
          <t>Delivery Process</t>
        </is>
      </c>
      <c r="B5" s="57" t="n">
        <v>9</v>
      </c>
      <c r="C5" s="58">
        <f>COUNTIF('Evidence Tracker'!H5:H13,"Exists")</f>
        <v/>
      </c>
      <c r="D5" s="59">
        <f>COUNTIF('Evidence Tracker'!H5:H13,"Partial")</f>
        <v/>
      </c>
      <c r="E5" s="60">
        <f>COUNTIF('Evidence Tracker'!H5:H13,"Missing")</f>
        <v/>
      </c>
      <c r="F5" s="61">
        <f>IFERROR((C5+D5/2)/9,0)</f>
        <v/>
      </c>
    </row>
    <row r="6" ht="22" customHeight="1">
      <c r="A6" s="62" t="inlineStr">
        <is>
          <t>Validation &amp; Quality Assurance</t>
        </is>
      </c>
      <c r="B6" s="63" t="n">
        <v>8</v>
      </c>
      <c r="C6" s="58">
        <f>COUNTIF('Evidence Tracker'!H14:H21,"Exists")</f>
        <v/>
      </c>
      <c r="D6" s="59">
        <f>COUNTIF('Evidence Tracker'!H14:H21,"Partial")</f>
        <v/>
      </c>
      <c r="E6" s="60">
        <f>COUNTIF('Evidence Tracker'!H14:H21,"Missing")</f>
        <v/>
      </c>
      <c r="F6" s="64">
        <f>IFERROR((C6+D6/2)/8,0)</f>
        <v/>
      </c>
    </row>
    <row r="7" ht="22" customHeight="1">
      <c r="A7" s="65" t="inlineStr">
        <is>
          <t>Data Sourcing &amp; Lineage</t>
        </is>
      </c>
      <c r="B7" s="57" t="n">
        <v>7</v>
      </c>
      <c r="C7" s="58">
        <f>COUNTIF('Evidence Tracker'!H22:H28,"Exists")</f>
        <v/>
      </c>
      <c r="D7" s="59">
        <f>COUNTIF('Evidence Tracker'!H22:H28,"Partial")</f>
        <v/>
      </c>
      <c r="E7" s="60">
        <f>COUNTIF('Evidence Tracker'!H22:H28,"Missing")</f>
        <v/>
      </c>
      <c r="F7" s="61">
        <f>IFERROR((C7+D7/2)/7,0)</f>
        <v/>
      </c>
    </row>
    <row r="8" ht="22" customHeight="1">
      <c r="A8" s="66" t="inlineStr">
        <is>
          <t>Governance &amp; Issue Management</t>
        </is>
      </c>
      <c r="B8" s="63" t="n">
        <v>8</v>
      </c>
      <c r="C8" s="58">
        <f>COUNTIF('Evidence Tracker'!H29:H36,"Exists")</f>
        <v/>
      </c>
      <c r="D8" s="59">
        <f>COUNTIF('Evidence Tracker'!H29:H36,"Partial")</f>
        <v/>
      </c>
      <c r="E8" s="60">
        <f>COUNTIF('Evidence Tracker'!H29:H36,"Missing")</f>
        <v/>
      </c>
      <c r="F8" s="64">
        <f>IFERROR((C8+D8/2)/8,0)</f>
        <v/>
      </c>
    </row>
    <row r="9" ht="22" customHeight="1">
      <c r="A9" s="67" t="inlineStr">
        <is>
          <t>Access Control &amp; Security</t>
        </is>
      </c>
      <c r="B9" s="57" t="n">
        <v>5</v>
      </c>
      <c r="C9" s="58">
        <f>COUNTIF('Evidence Tracker'!H37:H41,"Exists")</f>
        <v/>
      </c>
      <c r="D9" s="59">
        <f>COUNTIF('Evidence Tracker'!H37:H41,"Partial")</f>
        <v/>
      </c>
      <c r="E9" s="60">
        <f>COUNTIF('Evidence Tracker'!H37:H41,"Missing")</f>
        <v/>
      </c>
      <c r="F9" s="61">
        <f>IFERROR((C9+D9/2)/5,0)</f>
        <v/>
      </c>
    </row>
    <row r="10" ht="22" customHeight="1">
      <c r="A10" s="68" t="inlineStr">
        <is>
          <t>Change Management</t>
        </is>
      </c>
      <c r="B10" s="63" t="n">
        <v>6</v>
      </c>
      <c r="C10" s="58">
        <f>COUNTIF('Evidence Tracker'!H42:H47,"Exists")</f>
        <v/>
      </c>
      <c r="D10" s="59">
        <f>COUNTIF('Evidence Tracker'!H42:H47,"Partial")</f>
        <v/>
      </c>
      <c r="E10" s="60">
        <f>COUNTIF('Evidence Tracker'!H42:H47,"Missing")</f>
        <v/>
      </c>
      <c r="F10" s="64">
        <f>IFERROR((C10+D10/2)/6,0)</f>
        <v/>
      </c>
    </row>
    <row r="11" ht="24" customHeight="1">
      <c r="A11" s="69" t="inlineStr">
        <is>
          <t>TOTAL</t>
        </is>
      </c>
      <c r="B11" s="69">
        <f>SUM(B5:B10)</f>
        <v/>
      </c>
      <c r="C11" s="69">
        <f>SUM(C5:C10)</f>
        <v/>
      </c>
      <c r="D11" s="69">
        <f>SUM(D5:D10)</f>
        <v/>
      </c>
      <c r="E11" s="69">
        <f>SUM(E5:E10)</f>
        <v/>
      </c>
      <c r="F11" s="70">
        <f>IFERROR(SUM(C5:C10)/SUM(B5:B10),0)</f>
        <v/>
      </c>
    </row>
    <row r="13" ht="22" customHeight="1">
      <c r="A13" s="71" t="inlineStr">
        <is>
          <t>KEY PROJECT STATS (FY2025)</t>
        </is>
      </c>
    </row>
    <row r="14" ht="20" customHeight="1">
      <c r="A14" s="72" t="inlineStr">
        <is>
          <t>Total Work Packages</t>
        </is>
      </c>
      <c r="E14" s="73" t="inlineStr">
        <is>
          <t>4</t>
        </is>
      </c>
    </row>
    <row r="15" ht="20" customHeight="1">
      <c r="A15" s="74" t="inlineStr">
        <is>
          <t>Total Metric Definitions</t>
        </is>
      </c>
      <c r="E15" s="75" t="inlineStr">
        <is>
          <t>86</t>
        </is>
      </c>
    </row>
    <row r="16" ht="20" customHeight="1">
      <c r="A16" s="72" t="inlineStr">
        <is>
          <t>Total Assessable Units (AUs)</t>
        </is>
      </c>
      <c r="E16" s="73" t="inlineStr">
        <is>
          <t>35</t>
        </is>
      </c>
    </row>
    <row r="17" ht="20" customHeight="1">
      <c r="A17" s="74" t="inlineStr">
        <is>
          <t>Total Metric Instances</t>
        </is>
      </c>
      <c r="E17" s="75" t="inlineStr">
        <is>
          <t>2,240</t>
        </is>
      </c>
    </row>
    <row r="18" ht="20" customHeight="1">
      <c r="A18" s="72" t="inlineStr">
        <is>
          <t>Jira — BUILD COMPLETE</t>
        </is>
      </c>
      <c r="E18" s="73" t="inlineStr">
        <is>
          <t>754</t>
        </is>
      </c>
    </row>
    <row r="19" ht="20" customHeight="1">
      <c r="A19" s="74" t="inlineStr">
        <is>
          <t>Jira — BLOCKED (active)</t>
        </is>
      </c>
      <c r="E19" s="75" t="inlineStr">
        <is>
          <t>49</t>
        </is>
      </c>
    </row>
    <row r="20" ht="20" customHeight="1">
      <c r="A20" s="72" t="inlineStr">
        <is>
          <t>RAID Log Items</t>
        </is>
      </c>
      <c r="E20" s="73" t="inlineStr">
        <is>
          <t>137</t>
        </is>
      </c>
    </row>
    <row r="21" ht="20" customHeight="1">
      <c r="A21" s="74" t="inlineStr">
        <is>
          <t>Rahona Data Sources</t>
        </is>
      </c>
      <c r="E21" s="75" t="inlineStr">
        <is>
          <t>20</t>
        </is>
      </c>
    </row>
    <row r="22" ht="20" customHeight="1">
      <c r="A22" s="72" t="inlineStr">
        <is>
          <t>ADIDO Data Sources</t>
        </is>
      </c>
      <c r="E22" s="73" t="inlineStr">
        <is>
          <t>73</t>
        </is>
      </c>
    </row>
  </sheetData>
  <mergeCells count="22">
    <mergeCell ref="A17:D17"/>
    <mergeCell ref="A22:D22"/>
    <mergeCell ref="A20:D20"/>
    <mergeCell ref="E14:F14"/>
    <mergeCell ref="A19:D19"/>
    <mergeCell ref="E17:F17"/>
    <mergeCell ref="A2:F2"/>
    <mergeCell ref="E20:F20"/>
    <mergeCell ref="E19:F19"/>
    <mergeCell ref="A15:D15"/>
    <mergeCell ref="A11"/>
    <mergeCell ref="A13:F13"/>
    <mergeCell ref="E15:F15"/>
    <mergeCell ref="A16:D16"/>
    <mergeCell ref="A18:D18"/>
    <mergeCell ref="E16:F16"/>
    <mergeCell ref="E21:F21"/>
    <mergeCell ref="A1:F1"/>
    <mergeCell ref="A21:D21"/>
    <mergeCell ref="E22:F22"/>
    <mergeCell ref="E18:F18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16" customWidth="1" min="4" max="4"/>
    <col width="24" customWidth="1" min="5" max="5"/>
  </cols>
  <sheetData>
    <row r="1" ht="28" customHeight="1">
      <c r="A1" s="54" t="inlineStr">
        <is>
          <t>FY2025 Risk Assessment — Resourcing &amp; Process Ownership</t>
        </is>
      </c>
    </row>
    <row r="2" ht="14" customHeight="1">
      <c r="A2" s="2" t="inlineStr">
        <is>
          <t>Maps team members to process ownership and step assignments</t>
        </is>
      </c>
    </row>
    <row r="3" ht="6" customHeight="1"/>
    <row r="4" ht="28" customHeight="1">
      <c r="A4" s="3" t="inlineStr">
        <is>
          <t>Process</t>
        </is>
      </c>
      <c r="B4" s="3" t="inlineStr">
        <is>
          <t>Sub-Process / Control Area</t>
        </is>
      </c>
      <c r="C4" s="3" t="inlineStr">
        <is>
          <t>Process Steps</t>
        </is>
      </c>
      <c r="D4" s="3" t="inlineStr">
        <is>
          <t>Resources</t>
        </is>
      </c>
      <c r="E4" s="3" t="inlineStr">
        <is>
          <t>Notes</t>
        </is>
      </c>
    </row>
    <row r="5" ht="90" customHeight="1">
      <c r="A5" s="4" t="inlineStr">
        <is>
          <t>Delivery Process</t>
        </is>
      </c>
      <c r="B5" s="5" t="inlineStr">
        <is>
          <t>Requirement Definition; Data Acquisition; Logic Dev; Change Mgmt; Deployment; Delivery; BAU</t>
        </is>
      </c>
      <c r="C5" s="10" t="inlineStr">
        <is>
          <t>0. Intake Request
1. Scope / Requirement Definition
2. Data Acquisition
3. Logic Development (Build)
4. Technical Specifications (Build)
5. Output Validation
6. Approval
7. Deployment
8. Output / Document</t>
        </is>
      </c>
      <c r="D5" s="76" t="inlineStr">
        <is>
          <t>Amandeep: Steps 0–4
Karthik: Steps 5–8</t>
        </is>
      </c>
      <c r="E5" s="77" t="inlineStr"/>
    </row>
    <row r="6" ht="90" customHeight="1">
      <c r="A6" s="25" t="inlineStr">
        <is>
          <t>Validation &amp; Quality Assurance</t>
        </is>
      </c>
      <c r="B6" s="26" t="inlineStr">
        <is>
          <t>DQ Checks; Reconciliation; Peer Review; Output Verification</t>
        </is>
      </c>
      <c r="C6" s="19" t="inlineStr">
        <is>
          <t>1. Validation Planning
2. Data Quality Checks
3. Reconciliation
4. Reasonability Analysis
5. Peer Review
6. Output Verification
7. Issue Logging
8. Sign-Off &amp; Approval</t>
        </is>
      </c>
      <c r="D6" s="78" t="inlineStr">
        <is>
          <t>Priyanshi: Steps 1–4
Sujai: Steps 5–8</t>
        </is>
      </c>
      <c r="E6" s="79" t="inlineStr"/>
    </row>
    <row r="7" ht="90" customHeight="1">
      <c r="A7" s="30" t="inlineStr">
        <is>
          <t>Data Sourcing &amp; Lineage</t>
        </is>
      </c>
      <c r="B7" s="31" t="inlineStr">
        <is>
          <t>Source Identification; Access; Extraction; Lineage; Retention</t>
        </is>
      </c>
      <c r="C7" s="10" t="inlineStr">
        <is>
          <t>1. Source Identification
2. Access Enablement
3. Data Extraction
4. Data Understanding
5. Lineage Documentation
6. Refresh Management
7. Data Retention</t>
        </is>
      </c>
      <c r="D7" s="80" t="inlineStr">
        <is>
          <t>Hua: Steps 1–3
Subham: Steps 4–5
Raghul: Steps 6–7</t>
        </is>
      </c>
      <c r="E7" s="77" t="inlineStr"/>
    </row>
    <row r="8" ht="90" customHeight="1">
      <c r="A8" s="35" t="inlineStr">
        <is>
          <t>Governance &amp; Issue Management</t>
        </is>
      </c>
      <c r="B8" s="36" t="inlineStr">
        <is>
          <t>Decision Logging; Assumptions; Issue Mgmt; Escalation; Risk Acceptance</t>
        </is>
      </c>
      <c r="C8" s="19" t="inlineStr">
        <is>
          <t>1. Decision Logging
2. Assumption Tracking
3. Issue Logging
4. Severity Assessment
5. Escalation Pathways
6. Resolution &amp; Unblocking
7. Risk Acceptance
8. Decommissioning</t>
        </is>
      </c>
      <c r="D8" s="81" t="inlineStr">
        <is>
          <t>Patty: Steps 1–4
Tom: Steps 5–8</t>
        </is>
      </c>
      <c r="E8" s="79" t="inlineStr"/>
    </row>
    <row r="9" ht="90" customHeight="1">
      <c r="A9" s="40" t="inlineStr">
        <is>
          <t>Access Control &amp; Security</t>
        </is>
      </c>
      <c r="B9" s="41" t="inlineStr">
        <is>
          <t>PIAs; Access Control Matrix; DEV vs PROD; Periodic Reviews</t>
        </is>
      </c>
      <c r="C9" s="10" t="inlineStr">
        <is>
          <t>1. PIA Initiation
2. Access Request &amp; Approval
3. Access Control Matrix
4. DEV vs PROD Separation
5. Periodic Access Review</t>
        </is>
      </c>
      <c r="D9" s="82" t="inlineStr">
        <is>
          <t>Hua: Steps 1–2
TBD: Steps 3–5</t>
        </is>
      </c>
      <c r="E9" s="83" t="inlineStr">
        <is>
          <t>⚠ Owners TBD — confirm with team leads</t>
        </is>
      </c>
    </row>
    <row r="10" ht="90" customHeight="1">
      <c r="A10" s="45" t="inlineStr">
        <is>
          <t>Change Management</t>
        </is>
      </c>
      <c r="B10" s="46" t="inlineStr">
        <is>
          <t>Change Tickets; Git Version Control; Approvals; Deployment; Rollback</t>
        </is>
      </c>
      <c r="C10" s="19" t="inlineStr">
        <is>
          <t>1. Change Request
2. Impact Assessment
3. Change Approval
4. Version Control
5. Deployment &amp; Rollback
6. Scope Change Logging</t>
        </is>
      </c>
      <c r="D10" s="84" t="inlineStr">
        <is>
          <t>TBD: Steps 1–5
Richard Ng: Step 6</t>
        </is>
      </c>
      <c r="E10" s="85" t="inlineStr">
        <is>
          <t>⚠ Owners TBD — confirm with team leads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2026-04-16T21:13:41Z</dcterms:created>
  <dcterms:modified xmlns:dcterms="http://purl.org/dc/terms/" xmlns:xsi="http://www.w3.org/2001/XMLSchema-instance" xsi:type="dcterms:W3CDTF">2026-04-16T21:13:41Z</dcterms:modified>
</cp:coreProperties>
</file>